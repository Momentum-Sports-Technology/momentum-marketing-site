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puts" sheetId="1" state="visible" r:id="rId1"/>
    <sheet xmlns:r="http://schemas.openxmlformats.org/officeDocument/2006/relationships" name="Structure" sheetId="2" state="visible" r:id="rId2"/>
    <sheet xmlns:r="http://schemas.openxmlformats.org/officeDocument/2006/relationships" name="Steady state" sheetId="3" state="visible" r:id="rId3"/>
    <sheet xmlns:r="http://schemas.openxmlformats.org/officeDocument/2006/relationships" name="5 year" sheetId="4" state="visible" r:id="rId4"/>
    <sheet xmlns:r="http://schemas.openxmlformats.org/officeDocument/2006/relationships" name="Capital" sheetId="5" state="visible" r:id="rId5"/>
    <sheet xmlns:r="http://schemas.openxmlformats.org/officeDocument/2006/relationships" name="Momentum Ltd" sheetId="6" state="visible" r:id="rId6"/>
    <sheet xmlns:r="http://schemas.openxmlformats.org/officeDocument/2006/relationships" name="Layout" sheetId="7" state="visible" r:id="rId7"/>
    <sheet xmlns:r="http://schemas.openxmlformats.org/officeDocument/2006/relationships" name="Notes" sheetId="8" state="visible" r:id="rId8"/>
  </sheets>
  <definedNames/>
  <calcPr calcId="124519" fullCalcOnLoad="1"/>
</workbook>
</file>

<file path=xl/styles.xml><?xml version="1.0" encoding="utf-8"?>
<styleSheet xmlns="http://schemas.openxmlformats.org/spreadsheetml/2006/main">
  <numFmts count="3">
    <numFmt numFmtId="164" formatCode="#,##0;[Red](#,##0)"/>
    <numFmt numFmtId="165" formatCode="0.0"/>
    <numFmt numFmtId="166" formatCode="0.000"/>
  </numFmts>
  <fonts count="4">
    <font>
      <name val="Calibri"/>
      <family val="2"/>
      <color theme="1"/>
      <sz val="11"/>
      <scheme val="minor"/>
    </font>
    <font>
      <b val="1"/>
      <sz val="14"/>
    </font>
    <font>
      <b val="1"/>
    </font>
    <font>
      <i val="1"/>
    </font>
  </fonts>
  <fills count="5">
    <fill>
      <patternFill/>
    </fill>
    <fill>
      <patternFill patternType="gray125"/>
    </fill>
    <fill>
      <patternFill patternType="solid">
        <fgColor rgb="00FFF2CC"/>
      </patternFill>
    </fill>
    <fill>
      <patternFill patternType="solid">
        <fgColor rgb="00D9E1F2"/>
      </patternFill>
    </fill>
    <fill>
      <patternFill patternType="solid">
        <fgColor rgb="00E2EFDA"/>
      </patternFill>
    </fill>
  </fills>
  <borders count="1">
    <border>
      <left/>
      <right/>
      <top/>
      <bottom/>
      <diagonal/>
    </border>
  </borders>
  <cellStyleXfs count="1">
    <xf numFmtId="0" fontId="0" fillId="0" borderId="0"/>
  </cellStyleXfs>
  <cellXfs count="32">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2" fillId="0" borderId="0" pivotButton="0" quotePrefix="0" xfId="0"/>
    <xf numFmtId="0" fontId="2" fillId="3" borderId="0" pivotButton="0" quotePrefix="0" xfId="0"/>
    <xf numFmtId="0" fontId="0" fillId="3" borderId="0" pivotButton="0" quotePrefix="0" xfId="0"/>
    <xf numFmtId="1" fontId="0" fillId="2" borderId="0" pivotButton="0" quotePrefix="0" xfId="0"/>
    <xf numFmtId="1" fontId="2" fillId="4" borderId="0" pivotButton="0" quotePrefix="0" xfId="0"/>
    <xf numFmtId="9" fontId="0" fillId="2" borderId="0" pivotButton="0" quotePrefix="0" xfId="0"/>
    <xf numFmtId="9" fontId="2" fillId="4" borderId="0" pivotButton="0" quotePrefix="0" xfId="0"/>
    <xf numFmtId="164" fontId="0" fillId="2" borderId="0" pivotButton="0" quotePrefix="0" xfId="0"/>
    <xf numFmtId="164" fontId="2" fillId="4" borderId="0" pivotButton="0" quotePrefix="0" xfId="0"/>
    <xf numFmtId="4" fontId="0" fillId="2" borderId="0" pivotButton="0" quotePrefix="0" xfId="0"/>
    <xf numFmtId="4" fontId="2" fillId="4" borderId="0" pivotButton="0" quotePrefix="0" xfId="0"/>
    <xf numFmtId="165" fontId="0" fillId="2" borderId="0" pivotButton="0" quotePrefix="0" xfId="0"/>
    <xf numFmtId="165" fontId="2" fillId="4" borderId="0" pivotButton="0" quotePrefix="0" xfId="0"/>
    <xf numFmtId="166" fontId="0" fillId="2" borderId="0" pivotButton="0" quotePrefix="0" xfId="0"/>
    <xf numFmtId="166" fontId="2" fillId="4" borderId="0" pivotButton="0" quotePrefix="0" xfId="0"/>
    <xf numFmtId="9" fontId="2" fillId="2" borderId="0" pivotButton="0" quotePrefix="0" xfId="0"/>
    <xf numFmtId="9" fontId="0" fillId="4" borderId="0" pivotButton="0" quotePrefix="0" xfId="0"/>
    <xf numFmtId="0" fontId="0" fillId="0" borderId="0" applyAlignment="1" pivotButton="0" quotePrefix="0" xfId="0">
      <alignment vertical="top" wrapText="1"/>
    </xf>
    <xf numFmtId="9" fontId="0" fillId="0" borderId="0" applyAlignment="1" pivotButton="0" quotePrefix="0" xfId="0">
      <alignment vertical="top" wrapText="1"/>
    </xf>
    <xf numFmtId="1" fontId="0" fillId="0" borderId="0" applyAlignment="1" pivotButton="0" quotePrefix="0" xfId="0">
      <alignment vertical="top" wrapText="1"/>
    </xf>
    <xf numFmtId="0" fontId="0" fillId="4" borderId="0" pivotButton="0" quotePrefix="0" xfId="0"/>
    <xf numFmtId="0" fontId="0" fillId="0" borderId="0" applyAlignment="1" pivotButton="0" quotePrefix="0" xfId="0">
      <alignment wrapText="1"/>
    </xf>
    <xf numFmtId="164" fontId="0" fillId="0" borderId="0" pivotButton="0" quotePrefix="0" xfId="0"/>
    <xf numFmtId="0" fontId="2" fillId="4" borderId="0" pivotButton="0" quotePrefix="0" xfId="0"/>
    <xf numFmtId="164" fontId="2" fillId="0" borderId="0" pivotButton="0" quotePrefix="0" xfId="0"/>
    <xf numFmtId="164" fontId="0" fillId="4" borderId="0" pivotButton="0" quotePrefix="0" xfId="0"/>
    <xf numFmtId="9" fontId="0" fillId="0" borderId="0" pivotButton="0" quotePrefix="0" xfId="0"/>
    <xf numFmtId="3"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7"/>
  <sheetViews>
    <sheetView workbookViewId="0">
      <selection activeCell="A1" sqref="A1"/>
    </sheetView>
  </sheetViews>
  <sheetFormatPr baseColWidth="8" defaultRowHeight="15"/>
  <cols>
    <col width="62" customWidth="1" min="1" max="1"/>
    <col width="12" customWidth="1" min="2" max="2"/>
    <col width="12" customWidth="1" min="3" max="3"/>
    <col width="12" customWidth="1" min="4" max="4"/>
    <col width="12" customWidth="1" min="5" max="5"/>
    <col width="70" customWidth="1" min="6" max="6"/>
  </cols>
  <sheetData>
    <row r="1">
      <c r="A1" s="1" t="inlineStr">
        <is>
          <t>Andover Community Netball Hub — model inputs</t>
        </is>
      </c>
    </row>
    <row r="2">
      <c r="A2" t="inlineStr">
        <is>
          <t>Scenario (1 = Low, 2 = Base, 3 = High)</t>
        </is>
      </c>
      <c r="C2" s="2" t="n">
        <v>2</v>
      </c>
    </row>
    <row r="3">
      <c r="A3" t="inlineStr">
        <is>
          <t>Structure (1 = Ltd co, 2 = CIC, 3 = Charity/CIO, 4 = CASC)</t>
        </is>
      </c>
      <c r="C3" s="2" t="n">
        <v>2</v>
      </c>
    </row>
    <row r="4">
      <c r="A4" s="3" t="inlineStr">
        <is>
          <t>Yellow = edit. Green = active value used by every other sheet. Amounts are £ per year unless stated.</t>
        </is>
      </c>
    </row>
    <row r="5">
      <c r="A5" s="4" t="inlineStr">
        <is>
          <t>Input</t>
        </is>
      </c>
      <c r="B5" s="4" t="inlineStr">
        <is>
          <t>Low</t>
        </is>
      </c>
      <c r="C5" s="4" t="inlineStr">
        <is>
          <t>Base</t>
        </is>
      </c>
      <c r="D5" s="4" t="inlineStr">
        <is>
          <t>High</t>
        </is>
      </c>
      <c r="E5" s="4" t="inlineStr">
        <is>
          <t>Active</t>
        </is>
      </c>
      <c r="F5" s="4" t="inlineStr">
        <is>
          <t>Note / source</t>
        </is>
      </c>
    </row>
    <row r="6">
      <c r="A6" s="5" t="inlineStr">
        <is>
          <t>Facility</t>
        </is>
      </c>
      <c r="B6" s="6" t="n"/>
      <c r="C6" s="6" t="n"/>
      <c r="D6" s="6" t="n"/>
      <c r="E6" s="6" t="n"/>
      <c r="F6" s="6" t="n"/>
    </row>
    <row r="7">
      <c r="A7" t="inlineStr">
        <is>
          <t>Netball courts (one per 20 m span; a 4th fits the east block at league run-offs, in place of padel)</t>
        </is>
      </c>
      <c r="B7" s="7" t="n">
        <v>3</v>
      </c>
      <c r="C7" s="7" t="n">
        <v>3</v>
      </c>
      <c r="D7" s="7" t="n">
        <v>4</v>
      </c>
      <c r="E7" s="8">
        <f>CHOOSE($C$2,B7,C7,D7)</f>
        <v/>
      </c>
      <c r="F7" t="inlineStr">
        <is>
          <t>Hollis survey: column rows at 20 m, frames at 7.5 m</t>
        </is>
      </c>
    </row>
    <row r="8">
      <c r="A8" t="inlineStr">
        <is>
          <t>Padel courts (21 m spans only: 3 in the east block, 2 south of Court 3)</t>
        </is>
      </c>
      <c r="B8" s="7" t="n">
        <v>4</v>
      </c>
      <c r="C8" s="7" t="n">
        <v>5</v>
      </c>
      <c r="D8" s="7" t="n">
        <v>5</v>
      </c>
      <c r="E8" s="8">
        <f>CHOOSE($C$2,B8,C8,D8)</f>
        <v/>
      </c>
      <c r="F8" t="inlineStr">
        <is>
          <t>LTA: 6 m sides, 8 m at ridge. Needs the 75 m line clear.</t>
        </is>
      </c>
    </row>
    <row r="9">
      <c r="A9" t="inlineStr">
        <is>
          <t>Pickleball courts (span B end, 18 m x 20 m takes 2)</t>
        </is>
      </c>
      <c r="B9" s="7" t="n">
        <v>2</v>
      </c>
      <c r="C9" s="7" t="n">
        <v>2</v>
      </c>
      <c r="D9" s="7" t="n">
        <v>2</v>
      </c>
      <c r="E9" s="8">
        <f>CHOOSE($C$2,B9,C9,D9)</f>
        <v/>
      </c>
      <c r="F9" t="inlineStr">
        <is>
          <t>18.3 x 9.1 m each, 5.5 m height. Cheap to mark, fast-growing daytime demand</t>
        </is>
      </c>
    </row>
    <row r="10">
      <c r="A10" t="inlineStr">
        <is>
          <t>Winter cricket net lanes over netball courts (retractable, 4 per court)</t>
        </is>
      </c>
      <c r="B10" s="7" t="n">
        <v>0</v>
      </c>
      <c r="C10" s="7" t="n">
        <v>8</v>
      </c>
      <c r="D10" s="7" t="n">
        <v>8</v>
      </c>
      <c r="E10" s="8">
        <f>CHOOSE($C$2,B10,C10,D10)</f>
        <v/>
      </c>
      <c r="F10" t="inlineStr">
        <is>
          <t>Jan to Apr daytime dual use. 0 to switch off</t>
        </is>
      </c>
    </row>
    <row r="11">
      <c r="A11" t="inlineStr">
        <is>
          <t>Bouldering room, sq m (option: replaces the 2 padel courts south of Court 3, ~460 sq m)</t>
        </is>
      </c>
      <c r="B11" s="7" t="n">
        <v>0</v>
      </c>
      <c r="C11" s="7" t="n">
        <v>0</v>
      </c>
      <c r="D11" s="7" t="n">
        <v>0</v>
      </c>
      <c r="E11" s="8">
        <f>CHOOSE($C$2,B11,C11,D11)</f>
        <v/>
      </c>
      <c r="F11" t="inlineStr">
        <is>
          <t>Set padel to 3 if you use this. 4.5 m walls fit under 7.1 m eaves</t>
        </is>
      </c>
    </row>
    <row r="12">
      <c r="A12" t="inlineStr">
        <is>
          <t>Operating weeks per year</t>
        </is>
      </c>
      <c r="B12" s="7" t="n">
        <v>50</v>
      </c>
      <c r="C12" s="7" t="n">
        <v>50</v>
      </c>
      <c r="D12" s="7" t="n">
        <v>50</v>
      </c>
      <c r="E12" s="8">
        <f>CHOOSE($C$2,B12,C12,D12)</f>
        <v/>
      </c>
      <c r="F12" t="inlineStr"/>
    </row>
    <row r="13">
      <c r="A13" t="inlineStr">
        <is>
          <t>Physio / clinic rooms (in the offices)</t>
        </is>
      </c>
      <c r="B13" s="7" t="n">
        <v>2</v>
      </c>
      <c r="C13" s="7" t="n">
        <v>2</v>
      </c>
      <c r="D13" s="7" t="n">
        <v>2</v>
      </c>
      <c r="E13" s="8">
        <f>CHOOSE($C$2,B13,C13,D13)</f>
        <v/>
      </c>
      <c r="F13" t="inlineStr"/>
    </row>
    <row r="15">
      <c r="A15" s="5" t="inlineStr">
        <is>
          <t>Netball — external hire (clubs, ADNA, Hampshire, schools). Momentum's own use is excluded below</t>
        </is>
      </c>
      <c r="B15" s="6" t="n"/>
      <c r="C15" s="6" t="n"/>
      <c r="D15" s="6" t="n"/>
      <c r="E15" s="6" t="n"/>
      <c r="F15" s="6" t="n"/>
    </row>
    <row r="16">
      <c r="A16" t="inlineStr">
        <is>
          <t>Evening court-hours per court per week (18:00–22:00 x 5)</t>
        </is>
      </c>
      <c r="B16" s="7" t="n">
        <v>20</v>
      </c>
      <c r="C16" s="7" t="n">
        <v>20</v>
      </c>
      <c r="D16" s="7" t="n">
        <v>20</v>
      </c>
      <c r="E16" s="8">
        <f>CHOOSE($C$2,B16,C16,D16)</f>
        <v/>
      </c>
      <c r="F16" t="inlineStr"/>
    </row>
    <row r="17">
      <c r="A17" t="inlineStr">
        <is>
          <t>Court-hours per week Momentum uses in the evening</t>
        </is>
      </c>
      <c r="B17" s="7" t="n">
        <v>30</v>
      </c>
      <c r="C17" s="7" t="n">
        <v>30</v>
      </c>
      <c r="D17" s="7" t="n">
        <v>30</v>
      </c>
      <c r="E17" s="8">
        <f>CHOOSE($C$2,B17,C17,D17)</f>
        <v/>
      </c>
      <c r="F17" t="inlineStr">
        <is>
          <t>40 matches x 40 min today = ~27</t>
        </is>
      </c>
    </row>
    <row r="18">
      <c r="A18" t="inlineStr">
        <is>
          <t>Evening fill of the remaining hours</t>
        </is>
      </c>
      <c r="B18" s="9" t="n">
        <v>0.55</v>
      </c>
      <c r="C18" s="9" t="n">
        <v>0.7</v>
      </c>
      <c r="D18" s="9" t="n">
        <v>0.8</v>
      </c>
      <c r="E18" s="10">
        <f>CHOOSE($C$2,B18,C18,D18)</f>
        <v/>
      </c>
      <c r="F18" t="inlineStr"/>
    </row>
    <row r="19">
      <c r="A19" t="inlineStr">
        <is>
          <t>Evening rate per court-hour</t>
        </is>
      </c>
      <c r="B19" s="11" t="n">
        <v>42</v>
      </c>
      <c r="C19" s="11" t="n">
        <v>48</v>
      </c>
      <c r="D19" s="11" t="n">
        <v>52</v>
      </c>
      <c r="E19" s="12">
        <f>CHOOSE($C$2,B19,C19,D19)</f>
        <v/>
      </c>
      <c r="F19" t="inlineStr"/>
    </row>
    <row r="20">
      <c r="A20" t="inlineStr">
        <is>
          <t>Weekend court-hours per court per week (10 x 2)</t>
        </is>
      </c>
      <c r="B20" s="7" t="n">
        <v>20</v>
      </c>
      <c r="C20" s="7" t="n">
        <v>20</v>
      </c>
      <c r="D20" s="7" t="n">
        <v>20</v>
      </c>
      <c r="E20" s="8">
        <f>CHOOSE($C$2,B20,C20,D20)</f>
        <v/>
      </c>
      <c r="F20" t="inlineStr"/>
    </row>
    <row r="21">
      <c r="A21" t="inlineStr">
        <is>
          <t>Weekend fill</t>
        </is>
      </c>
      <c r="B21" s="9" t="n">
        <v>0.3</v>
      </c>
      <c r="C21" s="9" t="n">
        <v>0.45</v>
      </c>
      <c r="D21" s="9" t="n">
        <v>0.55</v>
      </c>
      <c r="E21" s="10">
        <f>CHOOSE($C$2,B21,C21,D21)</f>
        <v/>
      </c>
      <c r="F21" t="inlineStr"/>
    </row>
    <row r="22">
      <c r="A22" t="inlineStr">
        <is>
          <t>Weekend rate per court-hour</t>
        </is>
      </c>
      <c r="B22" s="11" t="n">
        <v>38</v>
      </c>
      <c r="C22" s="11" t="n">
        <v>42</v>
      </c>
      <c r="D22" s="11" t="n">
        <v>45</v>
      </c>
      <c r="E22" s="12">
        <f>CHOOSE($C$2,B22,C22,D22)</f>
        <v/>
      </c>
      <c r="F22" t="inlineStr"/>
    </row>
    <row r="23">
      <c r="A23" t="inlineStr">
        <is>
          <t>Weekday daytime court-hours per court per week (8 x 5)</t>
        </is>
      </c>
      <c r="B23" s="7" t="n">
        <v>40</v>
      </c>
      <c r="C23" s="7" t="n">
        <v>40</v>
      </c>
      <c r="D23" s="7" t="n">
        <v>40</v>
      </c>
      <c r="E23" s="8">
        <f>CHOOSE($C$2,B23,C23,D23)</f>
        <v/>
      </c>
      <c r="F23" t="inlineStr"/>
    </row>
    <row r="24">
      <c r="A24" t="inlineStr">
        <is>
          <t>Daytime fill (schools, walking netball, Mini Momentum)</t>
        </is>
      </c>
      <c r="B24" s="9" t="n">
        <v>0.12</v>
      </c>
      <c r="C24" s="9" t="n">
        <v>0.2</v>
      </c>
      <c r="D24" s="9" t="n">
        <v>0.28</v>
      </c>
      <c r="E24" s="10">
        <f>CHOOSE($C$2,B24,C24,D24)</f>
        <v/>
      </c>
      <c r="F24" t="inlineStr"/>
    </row>
    <row r="25">
      <c r="A25" t="inlineStr">
        <is>
          <t>Daytime rate per court-hour</t>
        </is>
      </c>
      <c r="B25" s="11" t="n">
        <v>26</v>
      </c>
      <c r="C25" s="11" t="n">
        <v>30</v>
      </c>
      <c r="D25" s="11" t="n">
        <v>32</v>
      </c>
      <c r="E25" s="12">
        <f>CHOOSE($C$2,B25,C25,D25)</f>
        <v/>
      </c>
      <c r="F25" t="inlineStr"/>
    </row>
    <row r="27">
      <c r="A27" s="5" t="inlineStr">
        <is>
          <t>Momentum programmes moved in-house (leagues, mixed, pay to play, Netball Hour, walking, coaching)</t>
        </is>
      </c>
      <c r="B27" s="6" t="n"/>
      <c r="C27" s="6" t="n"/>
      <c r="D27" s="6" t="n"/>
      <c r="E27" s="6" t="n"/>
      <c r="F27" s="6" t="n"/>
    </row>
    <row r="28">
      <c r="A28" t="inlineStr">
        <is>
          <t>Momentum model: 1 = CIC runs the programmes, 2 = Momentum Netball Ltd rents courts from the CIC</t>
        </is>
      </c>
      <c r="B28" s="7" t="n">
        <v>2</v>
      </c>
      <c r="C28" s="7" t="n">
        <v>2</v>
      </c>
      <c r="D28" s="7" t="n">
        <v>2</v>
      </c>
      <c r="E28" s="8">
        <f>CHOOSE($C$2,B28,C28,D28)</f>
        <v/>
      </c>
      <c r="F28" t="inlineStr">
        <is>
          <t>Mode 2 keeps Momentum Ltd independent; the CIC must charge it an arm's-length rate</t>
        </is>
      </c>
    </row>
    <row r="29">
      <c r="A29" t="inlineStr">
        <is>
          <t>Mode 1: steady-state programme income inside the CIC</t>
        </is>
      </c>
      <c r="B29" s="11" t="n">
        <v>90000</v>
      </c>
      <c r="C29" s="11" t="n">
        <v>120000</v>
      </c>
      <c r="D29" s="11" t="n">
        <v>160000</v>
      </c>
      <c r="E29" s="12">
        <f>CHOOSE($C$2,B29,C29,D29)</f>
        <v/>
      </c>
      <c r="F29" t="inlineStr">
        <is>
          <t>Xero FY26: £55k across all programmes on ~20 court-hours/week</t>
        </is>
      </c>
    </row>
    <row r="30">
      <c r="A30" t="inlineStr">
        <is>
          <t>Mode 2: block-booking discount available to any block booker</t>
        </is>
      </c>
      <c r="B30" s="9" t="n">
        <v>0.15</v>
      </c>
      <c r="C30" s="9" t="n">
        <v>0.15</v>
      </c>
      <c r="D30" s="9" t="n">
        <v>0.15</v>
      </c>
      <c r="E30" s="10">
        <f>CHOOSE($C$2,B30,C30,D30)</f>
        <v/>
      </c>
      <c r="F30" t="inlineStr">
        <is>
          <t>Same 15% as the 2025 sheet; must be offered to all, not just Momentum</t>
        </is>
      </c>
    </row>
    <row r="31">
      <c r="A31" t="inlineStr">
        <is>
          <t>Mode 2: weeks per year Momentum books</t>
        </is>
      </c>
      <c r="B31" s="7" t="n">
        <v>40</v>
      </c>
      <c r="C31" s="7" t="n">
        <v>40</v>
      </c>
      <c r="D31" s="7" t="n">
        <v>40</v>
      </c>
      <c r="E31" s="8">
        <f>CHOOSE($C$2,B31,C31,D31)</f>
        <v/>
      </c>
      <c r="F31" t="inlineStr"/>
    </row>
    <row r="33">
      <c r="A33" s="5" t="inlineStr">
        <is>
          <t>Padel</t>
        </is>
      </c>
      <c r="B33" s="6" t="n"/>
      <c r="C33" s="6" t="n"/>
      <c r="D33" s="6" t="n"/>
      <c r="E33" s="6" t="n"/>
      <c r="F33" s="6" t="n"/>
    </row>
    <row r="34">
      <c r="A34" t="inlineStr">
        <is>
          <t>Hours open per court per week (07:00–22:00 x 7)</t>
        </is>
      </c>
      <c r="B34" s="7" t="n">
        <v>105</v>
      </c>
      <c r="C34" s="7" t="n">
        <v>105</v>
      </c>
      <c r="D34" s="7" t="n">
        <v>105</v>
      </c>
      <c r="E34" s="8">
        <f>CHOOSE($C$2,B34,C34,D34)</f>
        <v/>
      </c>
      <c r="F34" t="inlineStr"/>
    </row>
    <row r="35">
      <c r="A35" t="inlineStr">
        <is>
          <t>Blended fill</t>
        </is>
      </c>
      <c r="B35" s="9" t="n">
        <v>0.35</v>
      </c>
      <c r="C35" s="9" t="n">
        <v>0.45</v>
      </c>
      <c r="D35" s="9" t="n">
        <v>0.55</v>
      </c>
      <c r="E35" s="10">
        <f>CHOOSE($C$2,B35,C35,D35)</f>
        <v/>
      </c>
      <c r="F35" t="inlineStr">
        <is>
          <t>UK indoor padel typically 50–65% by year 2</t>
        </is>
      </c>
    </row>
    <row r="36">
      <c r="A36" t="inlineStr">
        <is>
          <t>Blended rate per court-hour</t>
        </is>
      </c>
      <c r="B36" s="11" t="n">
        <v>32</v>
      </c>
      <c r="C36" s="11" t="n">
        <v>36</v>
      </c>
      <c r="D36" s="11" t="n">
        <v>40</v>
      </c>
      <c r="E36" s="12">
        <f>CHOOSE($C$2,B36,C36,D36)</f>
        <v/>
      </c>
      <c r="F36" t="inlineStr"/>
    </row>
    <row r="38">
      <c r="A38" s="5" t="inlineStr">
        <is>
          <t>Pickleball</t>
        </is>
      </c>
      <c r="B38" s="6" t="n"/>
      <c r="C38" s="6" t="n"/>
      <c r="D38" s="6" t="n"/>
      <c r="E38" s="6" t="n"/>
      <c r="F38" s="6" t="n"/>
    </row>
    <row r="39">
      <c r="A39" t="inlineStr">
        <is>
          <t>Hours open per court per week (12 x 7)</t>
        </is>
      </c>
      <c r="B39" s="7" t="n">
        <v>84</v>
      </c>
      <c r="C39" s="7" t="n">
        <v>84</v>
      </c>
      <c r="D39" s="7" t="n">
        <v>84</v>
      </c>
      <c r="E39" s="8">
        <f>CHOOSE($C$2,B39,C39,D39)</f>
        <v/>
      </c>
      <c r="F39" t="inlineStr"/>
    </row>
    <row r="40">
      <c r="A40" t="inlineStr">
        <is>
          <t>Blended fill</t>
        </is>
      </c>
      <c r="B40" s="9" t="n">
        <v>0.25</v>
      </c>
      <c r="C40" s="9" t="n">
        <v>0.35</v>
      </c>
      <c r="D40" s="9" t="n">
        <v>0.45</v>
      </c>
      <c r="E40" s="10">
        <f>CHOOSE($C$2,B40,C40,D40)</f>
        <v/>
      </c>
      <c r="F40" t="inlineStr"/>
    </row>
    <row r="41">
      <c r="A41" t="inlineStr">
        <is>
          <t>Rate per court-hour</t>
        </is>
      </c>
      <c r="B41" s="11" t="n">
        <v>18</v>
      </c>
      <c r="C41" s="11" t="n">
        <v>22</v>
      </c>
      <c r="D41" s="11" t="n">
        <v>26</v>
      </c>
      <c r="E41" s="12">
        <f>CHOOSE($C$2,B41,C41,D41)</f>
        <v/>
      </c>
      <c r="F41" t="inlineStr"/>
    </row>
    <row r="43">
      <c r="A43" s="5" t="inlineStr">
        <is>
          <t>Winter cricket nets (dual use of netball courts, weekday daytime)</t>
        </is>
      </c>
      <c r="B43" s="6" t="n"/>
      <c r="C43" s="6" t="n"/>
      <c r="D43" s="6" t="n"/>
      <c r="E43" s="6" t="n"/>
      <c r="F43" s="6" t="n"/>
    </row>
    <row r="44">
      <c r="A44" t="inlineStr">
        <is>
          <t>Weeks per year (January to April)</t>
        </is>
      </c>
      <c r="B44" s="7" t="n">
        <v>16</v>
      </c>
      <c r="C44" s="7" t="n">
        <v>16</v>
      </c>
      <c r="D44" s="7" t="n">
        <v>16</v>
      </c>
      <c r="E44" s="8">
        <f>CHOOSE($C$2,B44,C44,D44)</f>
        <v/>
      </c>
      <c r="F44" t="inlineStr"/>
    </row>
    <row r="45">
      <c r="A45" t="inlineStr">
        <is>
          <t>Lane-hours per lane per week (6 h x 5 days)</t>
        </is>
      </c>
      <c r="B45" s="7" t="n">
        <v>30</v>
      </c>
      <c r="C45" s="7" t="n">
        <v>30</v>
      </c>
      <c r="D45" s="7" t="n">
        <v>30</v>
      </c>
      <c r="E45" s="8">
        <f>CHOOSE($C$2,B45,C45,D45)</f>
        <v/>
      </c>
      <c r="F45" t="inlineStr"/>
    </row>
    <row r="46">
      <c r="A46" t="inlineStr">
        <is>
          <t>Fill</t>
        </is>
      </c>
      <c r="B46" s="9" t="n">
        <v>0.3</v>
      </c>
      <c r="C46" s="9" t="n">
        <v>0.4</v>
      </c>
      <c r="D46" s="9" t="n">
        <v>0.5</v>
      </c>
      <c r="E46" s="10">
        <f>CHOOSE($C$2,B46,C46,D46)</f>
        <v/>
      </c>
      <c r="F46" t="inlineStr"/>
    </row>
    <row r="47">
      <c r="A47" t="inlineStr">
        <is>
          <t>Rate per lane-hour</t>
        </is>
      </c>
      <c r="B47" s="11" t="n">
        <v>26</v>
      </c>
      <c r="C47" s="11" t="n">
        <v>30</v>
      </c>
      <c r="D47" s="11" t="n">
        <v>34</v>
      </c>
      <c r="E47" s="12">
        <f>CHOOSE($C$2,B47,C47,D47)</f>
        <v/>
      </c>
      <c r="F47" t="inlineStr"/>
    </row>
    <row r="49">
      <c r="A49" s="5" t="inlineStr">
        <is>
          <t>Bouldering room (option)</t>
        </is>
      </c>
      <c r="B49" s="6" t="n"/>
      <c r="C49" s="6" t="n"/>
      <c r="D49" s="6" t="n"/>
      <c r="E49" s="6" t="n"/>
      <c r="F49" s="6" t="n"/>
    </row>
    <row r="50">
      <c r="A50" t="inlineStr">
        <is>
          <t>Income per sq m per year</t>
        </is>
      </c>
      <c r="B50" s="11" t="n">
        <v>600</v>
      </c>
      <c r="C50" s="11" t="n">
        <v>750</v>
      </c>
      <c r="D50" s="11" t="n">
        <v>900</v>
      </c>
      <c r="E50" s="12">
        <f>CHOOSE($C$2,B50,C50,D50)</f>
        <v/>
      </c>
      <c r="F50" t="inlineStr">
        <is>
          <t>UK bouldering gyms run £600 to £900 per sq m; entry ~£11</t>
        </is>
      </c>
    </row>
    <row r="51">
      <c r="A51" t="inlineStr">
        <is>
          <t>Extra staff cost if the room exists</t>
        </is>
      </c>
      <c r="B51" s="11" t="n">
        <v>52000</v>
      </c>
      <c r="C51" s="11" t="n">
        <v>52000</v>
      </c>
      <c r="D51" s="11" t="n">
        <v>52000</v>
      </c>
      <c r="E51" s="12">
        <f>CHOOSE($C$2,B51,C51,D51)</f>
        <v/>
      </c>
      <c r="F51" t="inlineStr">
        <is>
          <t>2 x £26k route setters / floor staff</t>
        </is>
      </c>
    </row>
    <row r="53">
      <c r="A53" s="5" t="inlineStr">
        <is>
          <t>Gym and netball strength &amp; conditioning</t>
        </is>
      </c>
      <c r="B53" s="6" t="n"/>
      <c r="C53" s="6" t="n"/>
      <c r="D53" s="6" t="n"/>
      <c r="E53" s="6" t="n"/>
      <c r="F53" s="6" t="n"/>
    </row>
    <row r="54">
      <c r="A54" t="inlineStr">
        <is>
          <t>Gym members (steady state)</t>
        </is>
      </c>
      <c r="B54" s="7" t="n">
        <v>300</v>
      </c>
      <c r="C54" s="7" t="n">
        <v>450</v>
      </c>
      <c r="D54" s="7" t="n">
        <v>650</v>
      </c>
      <c r="E54" s="8">
        <f>CHOOSE($C$2,B54,C54,D54)</f>
        <v/>
      </c>
      <c r="F54" t="inlineStr">
        <is>
          <t>PureGym Andover from £22.99; this is a niche, coached, women-led offer</t>
        </is>
      </c>
    </row>
    <row r="55">
      <c r="A55" t="inlineStr">
        <is>
          <t>Monthly fee</t>
        </is>
      </c>
      <c r="B55" s="11" t="n">
        <v>26</v>
      </c>
      <c r="C55" s="11" t="n">
        <v>29</v>
      </c>
      <c r="D55" s="11" t="n">
        <v>32</v>
      </c>
      <c r="E55" s="12">
        <f>CHOOSE($C$2,B55,C55,D55)</f>
        <v/>
      </c>
      <c r="F55" t="inlineStr"/>
    </row>
    <row r="56">
      <c r="A56" t="inlineStr">
        <is>
          <t>S&amp;C / injury-prevention classes per week</t>
        </is>
      </c>
      <c r="B56" s="7" t="n">
        <v>6</v>
      </c>
      <c r="C56" s="7" t="n">
        <v>10</v>
      </c>
      <c r="D56" s="7" t="n">
        <v>14</v>
      </c>
      <c r="E56" s="8">
        <f>CHOOSE($C$2,B56,C56,D56)</f>
        <v/>
      </c>
      <c r="F56" t="inlineStr">
        <is>
          <t>ACL prevention is netball's biggest unmet need; 7% of players do a programme</t>
        </is>
      </c>
    </row>
    <row r="57">
      <c r="A57" t="inlineStr">
        <is>
          <t>Attendees per class</t>
        </is>
      </c>
      <c r="B57" s="7" t="n">
        <v>6</v>
      </c>
      <c r="C57" s="7" t="n">
        <v>8</v>
      </c>
      <c r="D57" s="7" t="n">
        <v>10</v>
      </c>
      <c r="E57" s="8">
        <f>CHOOSE($C$2,B57,C57,D57)</f>
        <v/>
      </c>
      <c r="F57" t="inlineStr"/>
    </row>
    <row r="58">
      <c r="A58" t="inlineStr">
        <is>
          <t>Price per attendee</t>
        </is>
      </c>
      <c r="B58" s="11" t="n">
        <v>7</v>
      </c>
      <c r="C58" s="11" t="n">
        <v>8</v>
      </c>
      <c r="D58" s="11" t="n">
        <v>9</v>
      </c>
      <c r="E58" s="12">
        <f>CHOOSE($C$2,B58,C58,D58)</f>
        <v/>
      </c>
      <c r="F58" t="inlineStr"/>
    </row>
    <row r="60">
      <c r="A60" s="5" t="inlineStr">
        <is>
          <t>Physio and clinic</t>
        </is>
      </c>
      <c r="B60" s="6" t="n"/>
      <c r="C60" s="6" t="n"/>
      <c r="D60" s="6" t="n"/>
      <c r="E60" s="6" t="n"/>
      <c r="F60" s="6" t="n"/>
    </row>
    <row r="61">
      <c r="A61" t="inlineStr">
        <is>
          <t>Room rent per room per month</t>
        </is>
      </c>
      <c r="B61" s="11" t="n">
        <v>900</v>
      </c>
      <c r="C61" s="11" t="n">
        <v>1200</v>
      </c>
      <c r="D61" s="11" t="n">
        <v>1500</v>
      </c>
      <c r="E61" s="12">
        <f>CHOOSE($C$2,B61,C61,D61)</f>
        <v/>
      </c>
      <c r="F61" t="inlineStr"/>
    </row>
    <row r="62">
      <c r="A62" t="inlineStr">
        <is>
          <t>Injury-prevention programmes sold to clubs and schools</t>
        </is>
      </c>
      <c r="B62" s="11" t="n">
        <v>6000</v>
      </c>
      <c r="C62" s="11" t="n">
        <v>12000</v>
      </c>
      <c r="D62" s="11" t="n">
        <v>20000</v>
      </c>
      <c r="E62" s="12">
        <f>CHOOSE($C$2,B62,C62,D62)</f>
        <v/>
      </c>
      <c r="F62" t="inlineStr"/>
    </row>
    <row r="64">
      <c r="A64" s="5" t="inlineStr">
        <is>
          <t>Café and bar</t>
        </is>
      </c>
      <c r="B64" s="6" t="n"/>
      <c r="C64" s="6" t="n"/>
      <c r="D64" s="6" t="n"/>
      <c r="E64" s="6" t="n"/>
      <c r="F64" s="6" t="n"/>
    </row>
    <row r="65">
      <c r="A65" t="inlineStr">
        <is>
          <t>Visits per week (all activities)</t>
        </is>
      </c>
      <c r="B65" s="7" t="n">
        <v>3000</v>
      </c>
      <c r="C65" s="7" t="n">
        <v>4200</v>
      </c>
      <c r="D65" s="7" t="n">
        <v>5200</v>
      </c>
      <c r="E65" s="8">
        <f>CHOOSE($C$2,B65,C65,D65)</f>
        <v/>
      </c>
      <c r="F65" t="inlineStr">
        <is>
          <t>4 netball courts x 20 people per court-hour evening + padel + gym + daytime</t>
        </is>
      </c>
    </row>
    <row r="66">
      <c r="A66" t="inlineStr">
        <is>
          <t>Average spend per visit</t>
        </is>
      </c>
      <c r="B66" s="13" t="n">
        <v>1.3</v>
      </c>
      <c r="C66" s="13" t="n">
        <v>1.6</v>
      </c>
      <c r="D66" s="13" t="n">
        <v>1.9</v>
      </c>
      <c r="E66" s="14">
        <f>CHOOSE($C$2,B66,C66,D66)</f>
        <v/>
      </c>
      <c r="F66" t="inlineStr"/>
    </row>
    <row r="67">
      <c r="A67" t="inlineStr">
        <is>
          <t>Café gross margin</t>
        </is>
      </c>
      <c r="B67" s="9" t="n">
        <v>0.55</v>
      </c>
      <c r="C67" s="9" t="n">
        <v>0.55</v>
      </c>
      <c r="D67" s="9" t="n">
        <v>0.58</v>
      </c>
      <c r="E67" s="10">
        <f>CHOOSE($C$2,B67,C67,D67)</f>
        <v/>
      </c>
      <c r="F67" t="inlineStr"/>
    </row>
    <row r="69">
      <c r="A69" s="5" t="inlineStr">
        <is>
          <t>Events, camps, parties, rooms</t>
        </is>
      </c>
      <c r="B69" s="6" t="n"/>
      <c r="C69" s="6" t="n"/>
      <c r="D69" s="6" t="n"/>
      <c r="E69" s="6" t="n"/>
      <c r="F69" s="6" t="n"/>
    </row>
    <row r="70">
      <c r="A70" t="inlineStr">
        <is>
          <t>Tournaments and events per year</t>
        </is>
      </c>
      <c r="B70" s="7" t="n">
        <v>12</v>
      </c>
      <c r="C70" s="7" t="n">
        <v>20</v>
      </c>
      <c r="D70" s="7" t="n">
        <v>28</v>
      </c>
      <c r="E70" s="8">
        <f>CHOOSE($C$2,B70,C70,D70)</f>
        <v/>
      </c>
      <c r="F70" t="inlineStr">
        <is>
          <t>County finals, Momentum tournaments, Army championships, EN courses</t>
        </is>
      </c>
    </row>
    <row r="71">
      <c r="A71" t="inlineStr">
        <is>
          <t>Net income per event</t>
        </is>
      </c>
      <c r="B71" s="11" t="n">
        <v>2000</v>
      </c>
      <c r="C71" s="11" t="n">
        <v>3000</v>
      </c>
      <c r="D71" s="11" t="n">
        <v>3500</v>
      </c>
      <c r="E71" s="12">
        <f>CHOOSE($C$2,B71,C71,D71)</f>
        <v/>
      </c>
      <c r="F71" t="inlineStr"/>
    </row>
    <row r="72">
      <c r="A72" t="inlineStr">
        <is>
          <t>Holiday camp weeks</t>
        </is>
      </c>
      <c r="B72" s="7" t="n">
        <v>10</v>
      </c>
      <c r="C72" s="7" t="n">
        <v>12</v>
      </c>
      <c r="D72" s="7" t="n">
        <v>13</v>
      </c>
      <c r="E72" s="8">
        <f>CHOOSE($C$2,B72,C72,D72)</f>
        <v/>
      </c>
      <c r="F72" t="inlineStr"/>
    </row>
    <row r="73">
      <c r="A73" t="inlineStr">
        <is>
          <t>Kids per day</t>
        </is>
      </c>
      <c r="B73" s="7" t="n">
        <v>25</v>
      </c>
      <c r="C73" s="7" t="n">
        <v>40</v>
      </c>
      <c r="D73" s="7" t="n">
        <v>50</v>
      </c>
      <c r="E73" s="8">
        <f>CHOOSE($C$2,B73,C73,D73)</f>
        <v/>
      </c>
      <c r="F73" t="inlineStr"/>
    </row>
    <row r="74">
      <c r="A74" t="inlineStr">
        <is>
          <t>Price per kid per day</t>
        </is>
      </c>
      <c r="B74" s="11" t="n">
        <v>32</v>
      </c>
      <c r="C74" s="11" t="n">
        <v>35</v>
      </c>
      <c r="D74" s="11" t="n">
        <v>38</v>
      </c>
      <c r="E74" s="12">
        <f>CHOOSE($C$2,B74,C74,D74)</f>
        <v/>
      </c>
      <c r="F74" t="inlineStr"/>
    </row>
    <row r="75">
      <c r="A75" t="inlineStr">
        <is>
          <t>Parties per week</t>
        </is>
      </c>
      <c r="B75" s="15" t="n">
        <v>1.5</v>
      </c>
      <c r="C75" s="15" t="n">
        <v>3</v>
      </c>
      <c r="D75" s="15" t="n">
        <v>4</v>
      </c>
      <c r="E75" s="16">
        <f>CHOOSE($C$2,B75,C75,D75)</f>
        <v/>
      </c>
      <c r="F75" t="inlineStr"/>
    </row>
    <row r="76">
      <c r="A76" t="inlineStr">
        <is>
          <t>Price per party</t>
        </is>
      </c>
      <c r="B76" s="11" t="n">
        <v>220</v>
      </c>
      <c r="C76" s="11" t="n">
        <v>250</v>
      </c>
      <c r="D76" s="11" t="n">
        <v>280</v>
      </c>
      <c r="E76" s="12">
        <f>CHOOSE($C$2,B76,C76,D76)</f>
        <v/>
      </c>
      <c r="F76" t="inlineStr"/>
    </row>
    <row r="77">
      <c r="A77" t="inlineStr">
        <is>
          <t>Meeting room hire per year</t>
        </is>
      </c>
      <c r="B77" s="11" t="n">
        <v>8000</v>
      </c>
      <c r="C77" s="11" t="n">
        <v>15000</v>
      </c>
      <c r="D77" s="11" t="n">
        <v>22000</v>
      </c>
      <c r="E77" s="12">
        <f>CHOOSE($C$2,B77,C77,D77)</f>
        <v/>
      </c>
      <c r="F77" t="inlineStr"/>
    </row>
    <row r="79">
      <c r="A79" s="5" t="inlineStr">
        <is>
          <t>Sponsorship and donations</t>
        </is>
      </c>
      <c r="B79" s="6" t="n"/>
      <c r="C79" s="6" t="n"/>
      <c r="D79" s="6" t="n"/>
      <c r="E79" s="6" t="n"/>
      <c r="F79" s="6" t="n"/>
    </row>
    <row r="80">
      <c r="A80" t="inlineStr">
        <is>
          <t>Venue naming rights</t>
        </is>
      </c>
      <c r="B80" s="11" t="n">
        <v>20000</v>
      </c>
      <c r="C80" s="11" t="n">
        <v>35000</v>
      </c>
      <c r="D80" s="11" t="n">
        <v>50000</v>
      </c>
      <c r="E80" s="12">
        <f>CHOOSE($C$2,B80,C80,D80)</f>
        <v/>
      </c>
      <c r="F80" t="inlineStr">
        <is>
          <t>Simplyhealth, Le Creuset, Stannah, Twinings, Lloyds, Ocado all in Andover</t>
        </is>
      </c>
    </row>
    <row r="81">
      <c r="A81" t="inlineStr">
        <is>
          <t>Court sponsors (count)</t>
        </is>
      </c>
      <c r="B81" s="7" t="n">
        <v>8</v>
      </c>
      <c r="C81" s="7" t="n">
        <v>8</v>
      </c>
      <c r="D81" s="7" t="n">
        <v>9</v>
      </c>
      <c r="E81" s="8">
        <f>CHOOSE($C$2,B81,C81,D81)</f>
        <v/>
      </c>
      <c r="F81" t="inlineStr"/>
    </row>
    <row r="82">
      <c r="A82" t="inlineStr">
        <is>
          <t>Fee per court sponsor</t>
        </is>
      </c>
      <c r="B82" s="11" t="n">
        <v>2000</v>
      </c>
      <c r="C82" s="11" t="n">
        <v>3000</v>
      </c>
      <c r="D82" s="11" t="n">
        <v>4000</v>
      </c>
      <c r="E82" s="12">
        <f>CHOOSE($C$2,B82,C82,D82)</f>
        <v/>
      </c>
      <c r="F82" t="inlineStr"/>
    </row>
    <row r="83">
      <c r="A83" t="inlineStr">
        <is>
          <t>Other sponsorship</t>
        </is>
      </c>
      <c r="B83" s="11" t="n">
        <v>5000</v>
      </c>
      <c r="C83" s="11" t="n">
        <v>10000</v>
      </c>
      <c r="D83" s="11" t="n">
        <v>15000</v>
      </c>
      <c r="E83" s="12">
        <f>CHOOSE($C$2,B83,C83,D83)</f>
        <v/>
      </c>
      <c r="F83" t="inlineStr"/>
    </row>
    <row r="84">
      <c r="A84" t="inlineStr">
        <is>
          <t>Donations and fundraising</t>
        </is>
      </c>
      <c r="B84" s="11" t="n">
        <v>10000</v>
      </c>
      <c r="C84" s="11" t="n">
        <v>20000</v>
      </c>
      <c r="D84" s="11" t="n">
        <v>35000</v>
      </c>
      <c r="E84" s="12">
        <f>CHOOSE($C$2,B84,C84,D84)</f>
        <v/>
      </c>
      <c r="F84" t="inlineStr">
        <is>
          <t>Gift Aid adds 25% only for a charity or CASC</t>
        </is>
      </c>
    </row>
    <row r="86">
      <c r="A86" s="5" t="inlineStr">
        <is>
          <t>Occupancy costs</t>
        </is>
      </c>
      <c r="B86" s="6" t="n"/>
      <c r="C86" s="6" t="n"/>
      <c r="D86" s="6" t="n"/>
      <c r="E86" s="6" t="n"/>
      <c r="F86" s="6" t="n"/>
    </row>
    <row r="87">
      <c r="A87" t="inlineStr">
        <is>
          <t>Rent</t>
        </is>
      </c>
      <c r="B87" s="11" t="n">
        <v>450000</v>
      </c>
      <c r="C87" s="11" t="n">
        <v>450000</v>
      </c>
      <c r="D87" s="11" t="n">
        <v>450000</v>
      </c>
      <c r="E87" s="12">
        <f>CHOOSE($C$2,B87,C87,D87)</f>
        <v/>
      </c>
      <c r="F87" t="inlineStr">
        <is>
          <t>£9.57 per sq ft, FRI</t>
        </is>
      </c>
    </row>
    <row r="88">
      <c r="A88" t="inlineStr">
        <is>
          <t>Rent-free months in year 1</t>
        </is>
      </c>
      <c r="B88" s="7" t="n">
        <v>6</v>
      </c>
      <c r="C88" s="7" t="n">
        <v>12</v>
      </c>
      <c r="D88" s="7" t="n">
        <v>18</v>
      </c>
      <c r="E88" s="8">
        <f>CHOOSE($C$2,B88,C88,D88)</f>
        <v/>
      </c>
      <c r="F88" t="inlineStr">
        <is>
          <t>Unit empty since 2023; landlord's empty-rates relief ends ~Sept 2026</t>
        </is>
      </c>
    </row>
    <row r="89">
      <c r="A89" t="inlineStr">
        <is>
          <t>Year 2 rent as % of headline</t>
        </is>
      </c>
      <c r="B89" s="9" t="n">
        <v>1</v>
      </c>
      <c r="C89" s="9" t="n">
        <v>0.85</v>
      </c>
      <c r="D89" s="9" t="n">
        <v>0.75</v>
      </c>
      <c r="E89" s="10">
        <f>CHOOSE($C$2,B89,C89,D89)</f>
        <v/>
      </c>
      <c r="F89" t="inlineStr"/>
    </row>
    <row r="90">
      <c r="A90" t="inlineStr">
        <is>
          <t>Rateable value</t>
        </is>
      </c>
      <c r="B90" s="11" t="n">
        <v>400000</v>
      </c>
      <c r="C90" s="11" t="n">
        <v>400000</v>
      </c>
      <c r="D90" s="11" t="n">
        <v>400000</v>
      </c>
      <c r="E90" s="12">
        <f>CHOOSE($C$2,B90,C90,D90)</f>
        <v/>
      </c>
      <c r="F90" t="inlineStr">
        <is>
          <t>VOA 2026 list. A sports-use revaluation may lower it.</t>
        </is>
      </c>
    </row>
    <row r="91">
      <c r="A91" t="inlineStr">
        <is>
          <t>Rates multiplier 2026/27</t>
        </is>
      </c>
      <c r="B91" s="17" t="n">
        <v>0.48</v>
      </c>
      <c r="C91" s="17" t="n">
        <v>0.48</v>
      </c>
      <c r="D91" s="17" t="n">
        <v>0.48</v>
      </c>
      <c r="E91" s="18">
        <f>CHOOSE($C$2,B91,C91,D91)</f>
        <v/>
      </c>
      <c r="F91" t="inlineStr"/>
    </row>
    <row r="92">
      <c r="A92" t="inlineStr">
        <is>
          <t>Rates relief % override (blank = use structure)</t>
        </is>
      </c>
      <c r="B92" s="9" t="n"/>
      <c r="C92" s="9" t="n"/>
      <c r="D92" s="9" t="n"/>
      <c r="E92" s="19" t="n"/>
      <c r="F92" t="inlineStr">
        <is>
          <t>TVBC can grant a local non-profit up to 100% at its discretion</t>
        </is>
      </c>
    </row>
    <row r="93">
      <c r="A93" t="inlineStr">
        <is>
          <t>Insurance</t>
        </is>
      </c>
      <c r="B93" s="11" t="n">
        <v>20000</v>
      </c>
      <c r="C93" s="11" t="n">
        <v>18000</v>
      </c>
      <c r="D93" s="11" t="n">
        <v>16000</v>
      </c>
      <c r="E93" s="12">
        <f>CHOOSE($C$2,B93,C93,D93)</f>
        <v/>
      </c>
      <c r="F93" t="inlineStr"/>
    </row>
    <row r="94">
      <c r="A94" t="inlineStr">
        <is>
          <t>Repairs and maintenance sinking fund (FRI)</t>
        </is>
      </c>
      <c r="B94" s="11" t="n">
        <v>45000</v>
      </c>
      <c r="C94" s="11" t="n">
        <v>40000</v>
      </c>
      <c r="D94" s="11" t="n">
        <v>35000</v>
      </c>
      <c r="E94" s="12">
        <f>CHOOSE($C$2,B94,C94,D94)</f>
        <v/>
      </c>
      <c r="F94" t="inlineStr"/>
    </row>
    <row r="95">
      <c r="A95" t="inlineStr">
        <is>
          <t>Utilities gross</t>
        </is>
      </c>
      <c r="B95" s="11" t="n">
        <v>90000</v>
      </c>
      <c r="C95" s="11" t="n">
        <v>80000</v>
      </c>
      <c r="D95" s="11" t="n">
        <v>70000</v>
      </c>
      <c r="E95" s="12">
        <f>CHOOSE($C$2,B95,C95,D95)</f>
        <v/>
      </c>
      <c r="F95" t="inlineStr"/>
    </row>
    <row r="96">
      <c r="A96" t="inlineStr">
        <is>
          <t>Benefit of the 438 kWp roof PV (if the tenant gets the power)</t>
        </is>
      </c>
      <c r="B96" s="11" t="n">
        <v>30000</v>
      </c>
      <c r="C96" s="11" t="n">
        <v>40000</v>
      </c>
      <c r="D96" s="11" t="n">
        <v>50000</v>
      </c>
      <c r="E96" s="12">
        <f>CHOOSE($C$2,B96,C96,D96)</f>
        <v/>
      </c>
      <c r="F96" t="inlineStr"/>
    </row>
    <row r="98">
      <c r="A98" s="5" t="inlineStr">
        <is>
          <t>Staff (salaries; on-costs added below)</t>
        </is>
      </c>
      <c r="B98" s="6" t="n"/>
      <c r="C98" s="6" t="n"/>
      <c r="D98" s="6" t="n"/>
      <c r="E98" s="6" t="n"/>
      <c r="F98" s="6" t="n"/>
    </row>
    <row r="99">
      <c r="A99" t="inlineStr">
        <is>
          <t>General manager</t>
        </is>
      </c>
      <c r="B99" s="11" t="n">
        <v>45000</v>
      </c>
      <c r="C99" s="11" t="n">
        <v>45000</v>
      </c>
      <c r="D99" s="11" t="n">
        <v>45000</v>
      </c>
      <c r="E99" s="12">
        <f>CHOOSE($C$2,B99,C99,D99)</f>
        <v/>
      </c>
      <c r="F99" t="inlineStr"/>
    </row>
    <row r="100">
      <c r="A100" t="inlineStr">
        <is>
          <t>Duty managers (count)</t>
        </is>
      </c>
      <c r="B100" s="7" t="n">
        <v>3</v>
      </c>
      <c r="C100" s="7" t="n">
        <v>3</v>
      </c>
      <c r="D100" s="7" t="n">
        <v>3</v>
      </c>
      <c r="E100" s="8">
        <f>CHOOSE($C$2,B100,C100,D100)</f>
        <v/>
      </c>
      <c r="F100" t="inlineStr"/>
    </row>
    <row r="101">
      <c r="A101" t="inlineStr">
        <is>
          <t>Duty manager salary</t>
        </is>
      </c>
      <c r="B101" s="11" t="n">
        <v>28000</v>
      </c>
      <c r="C101" s="11" t="n">
        <v>28000</v>
      </c>
      <c r="D101" s="11" t="n">
        <v>28000</v>
      </c>
      <c r="E101" s="12">
        <f>CHOOSE($C$2,B101,C101,D101)</f>
        <v/>
      </c>
      <c r="F101" t="inlineStr"/>
    </row>
    <row r="102">
      <c r="A102" t="inlineStr">
        <is>
          <t>Reception and café staff (FTE)</t>
        </is>
      </c>
      <c r="B102" s="7" t="n">
        <v>7</v>
      </c>
      <c r="C102" s="7" t="n">
        <v>6</v>
      </c>
      <c r="D102" s="7" t="n">
        <v>6</v>
      </c>
      <c r="E102" s="8">
        <f>CHOOSE($C$2,B102,C102,D102)</f>
        <v/>
      </c>
      <c r="F102" t="inlineStr"/>
    </row>
    <row r="103">
      <c r="A103" t="inlineStr">
        <is>
          <t>Reception / café salary</t>
        </is>
      </c>
      <c r="B103" s="11" t="n">
        <v>24000</v>
      </c>
      <c r="C103" s="11" t="n">
        <v>24000</v>
      </c>
      <c r="D103" s="11" t="n">
        <v>24000</v>
      </c>
      <c r="E103" s="12">
        <f>CHOOSE($C$2,B103,C103,D103)</f>
        <v/>
      </c>
      <c r="F103" t="inlineStr"/>
    </row>
    <row r="104">
      <c r="A104" t="inlineStr">
        <is>
          <t>Cleaners (FTE)</t>
        </is>
      </c>
      <c r="B104" s="7" t="n">
        <v>2</v>
      </c>
      <c r="C104" s="7" t="n">
        <v>2</v>
      </c>
      <c r="D104" s="7" t="n">
        <v>2</v>
      </c>
      <c r="E104" s="8">
        <f>CHOOSE($C$2,B104,C104,D104)</f>
        <v/>
      </c>
      <c r="F104" t="inlineStr"/>
    </row>
    <row r="105">
      <c r="A105" t="inlineStr">
        <is>
          <t>Cleaner salary</t>
        </is>
      </c>
      <c r="B105" s="11" t="n">
        <v>22000</v>
      </c>
      <c r="C105" s="11" t="n">
        <v>22000</v>
      </c>
      <c r="D105" s="11" t="n">
        <v>22000</v>
      </c>
      <c r="E105" s="12">
        <f>CHOOSE($C$2,B105,C105,D105)</f>
        <v/>
      </c>
      <c r="F105" t="inlineStr"/>
    </row>
    <row r="106">
      <c r="A106" t="inlineStr">
        <is>
          <t>Marketing and community officer</t>
        </is>
      </c>
      <c r="B106" s="11" t="n">
        <v>30000</v>
      </c>
      <c r="C106" s="11" t="n">
        <v>30000</v>
      </c>
      <c r="D106" s="11" t="n">
        <v>30000</v>
      </c>
      <c r="E106" s="12">
        <f>CHOOSE($C$2,B106,C106,D106)</f>
        <v/>
      </c>
      <c r="F106" t="inlineStr"/>
    </row>
    <row r="107">
      <c r="A107" t="inlineStr">
        <is>
          <t>Coaching cost as % of Momentum programme + S&amp;C income</t>
        </is>
      </c>
      <c r="B107" s="9" t="n">
        <v>0.35</v>
      </c>
      <c r="C107" s="9" t="n">
        <v>0.35</v>
      </c>
      <c r="D107" s="9" t="n">
        <v>0.35</v>
      </c>
      <c r="E107" s="10">
        <f>CHOOSE($C$2,B107,C107,D107)</f>
        <v/>
      </c>
      <c r="F107" t="inlineStr"/>
    </row>
    <row r="108">
      <c r="A108" t="inlineStr">
        <is>
          <t>Employer on-costs (NI, pension)</t>
        </is>
      </c>
      <c r="B108" s="9" t="n">
        <v>0.15</v>
      </c>
      <c r="C108" s="9" t="n">
        <v>0.15</v>
      </c>
      <c r="D108" s="9" t="n">
        <v>0.15</v>
      </c>
      <c r="E108" s="10">
        <f>CHOOSE($C$2,B108,C108,D108)</f>
        <v/>
      </c>
      <c r="F108" t="inlineStr"/>
    </row>
    <row r="110">
      <c r="A110" s="5" t="inlineStr">
        <is>
          <t>Other operating costs</t>
        </is>
      </c>
      <c r="B110" s="6" t="n"/>
      <c r="C110" s="6" t="n"/>
      <c r="D110" s="6" t="n"/>
      <c r="E110" s="6" t="n"/>
      <c r="F110" s="6" t="n"/>
    </row>
    <row r="111">
      <c r="A111" t="inlineStr">
        <is>
          <t>Café cost of sales (1 − gross margin)</t>
        </is>
      </c>
      <c r="B111" s="20">
        <f>1-B67</f>
        <v/>
      </c>
      <c r="C111" s="20">
        <f>1-C67</f>
        <v/>
      </c>
      <c r="D111" s="20">
        <f>1-D67</f>
        <v/>
      </c>
      <c r="E111" s="10">
        <f>CHOOSE($C$2,B111,C111,D111)</f>
        <v/>
      </c>
      <c r="F111" t="inlineStr">
        <is>
          <t>Derived from café gross margin</t>
        </is>
      </c>
    </row>
    <row r="112">
      <c r="A112" t="inlineStr">
        <is>
          <t>Booking, payments, software as % of income</t>
        </is>
      </c>
      <c r="B112" s="9" t="n">
        <v>0.03</v>
      </c>
      <c r="C112" s="9" t="n">
        <v>0.03</v>
      </c>
      <c r="D112" s="9" t="n">
        <v>0.03</v>
      </c>
      <c r="E112" s="10">
        <f>CHOOSE($C$2,B112,C112,D112)</f>
        <v/>
      </c>
      <c r="F112" t="inlineStr"/>
    </row>
    <row r="113">
      <c r="A113" t="inlineStr">
        <is>
          <t>Marketing</t>
        </is>
      </c>
      <c r="B113" s="11" t="n">
        <v>30000</v>
      </c>
      <c r="C113" s="11" t="n">
        <v>30000</v>
      </c>
      <c r="D113" s="11" t="n">
        <v>35000</v>
      </c>
      <c r="E113" s="12">
        <f>CHOOSE($C$2,B113,C113,D113)</f>
        <v/>
      </c>
      <c r="F113" t="inlineStr"/>
    </row>
    <row r="114">
      <c r="A114" t="inlineStr">
        <is>
          <t>Accountancy, legal, audit</t>
        </is>
      </c>
      <c r="B114" s="11" t="n">
        <v>25000</v>
      </c>
      <c r="C114" s="11" t="n">
        <v>25000</v>
      </c>
      <c r="D114" s="11" t="n">
        <v>25000</v>
      </c>
      <c r="E114" s="12">
        <f>CHOOSE($C$2,B114,C114,D114)</f>
        <v/>
      </c>
      <c r="F114" t="inlineStr"/>
    </row>
    <row r="115">
      <c r="A115" t="inlineStr">
        <is>
          <t>Equipment and consumables</t>
        </is>
      </c>
      <c r="B115" s="11" t="n">
        <v>20000</v>
      </c>
      <c r="C115" s="11" t="n">
        <v>20000</v>
      </c>
      <c r="D115" s="11" t="n">
        <v>20000</v>
      </c>
      <c r="E115" s="12">
        <f>CHOOSE($C$2,B115,C115,D115)</f>
        <v/>
      </c>
      <c r="F115" t="inlineStr"/>
    </row>
    <row r="116">
      <c r="A116" t="inlineStr">
        <is>
          <t>Contingency on controllable costs</t>
        </is>
      </c>
      <c r="B116" s="9" t="n">
        <v>0.05</v>
      </c>
      <c r="C116" s="9" t="n">
        <v>0.05</v>
      </c>
      <c r="D116" s="9" t="n">
        <v>0.05</v>
      </c>
      <c r="E116" s="10">
        <f>CHOOSE($C$2,B116,C116,D116)</f>
        <v/>
      </c>
      <c r="F116" t="inlineStr"/>
    </row>
    <row r="118">
      <c r="A118" s="5" t="inlineStr">
        <is>
          <t>Ramp (share of steady-state income)</t>
        </is>
      </c>
      <c r="B118" s="6" t="n"/>
      <c r="C118" s="6" t="n"/>
      <c r="D118" s="6" t="n"/>
      <c r="E118" s="6" t="n"/>
      <c r="F118" s="6" t="n"/>
    </row>
    <row r="119">
      <c r="A119" t="inlineStr">
        <is>
          <t>Year 1</t>
        </is>
      </c>
      <c r="B119" s="9" t="n">
        <v>0.5</v>
      </c>
      <c r="C119" s="9" t="n">
        <v>0.6</v>
      </c>
      <c r="D119" s="9" t="n">
        <v>0.7</v>
      </c>
      <c r="E119" s="10">
        <f>CHOOSE($C$2,B119,C119,D119)</f>
        <v/>
      </c>
      <c r="F119" t="inlineStr"/>
    </row>
    <row r="120">
      <c r="A120" t="inlineStr">
        <is>
          <t>Year 2</t>
        </is>
      </c>
      <c r="B120" s="9" t="n">
        <v>0.75</v>
      </c>
      <c r="C120" s="9" t="n">
        <v>0.85</v>
      </c>
      <c r="D120" s="9" t="n">
        <v>0.95</v>
      </c>
      <c r="E120" s="10">
        <f>CHOOSE($C$2,B120,C120,D120)</f>
        <v/>
      </c>
      <c r="F120" t="inlineStr"/>
    </row>
    <row r="121">
      <c r="A121" t="inlineStr">
        <is>
          <t>Year 3</t>
        </is>
      </c>
      <c r="B121" s="9" t="n">
        <v>0.9</v>
      </c>
      <c r="C121" s="9" t="n">
        <v>1</v>
      </c>
      <c r="D121" s="9" t="n">
        <v>1.1</v>
      </c>
      <c r="E121" s="10">
        <f>CHOOSE($C$2,B121,C121,D121)</f>
        <v/>
      </c>
      <c r="F121" t="inlineStr"/>
    </row>
    <row r="122">
      <c r="A122" t="inlineStr">
        <is>
          <t>Year 4</t>
        </is>
      </c>
      <c r="B122" s="9" t="n">
        <v>0.95</v>
      </c>
      <c r="C122" s="9" t="n">
        <v>1.05</v>
      </c>
      <c r="D122" s="9" t="n">
        <v>1.15</v>
      </c>
      <c r="E122" s="10">
        <f>CHOOSE($C$2,B122,C122,D122)</f>
        <v/>
      </c>
      <c r="F122" t="inlineStr"/>
    </row>
    <row r="123">
      <c r="A123" t="inlineStr">
        <is>
          <t>Year 5</t>
        </is>
      </c>
      <c r="B123" s="9" t="n">
        <v>1</v>
      </c>
      <c r="C123" s="9" t="n">
        <v>1.08</v>
      </c>
      <c r="D123" s="9" t="n">
        <v>1.2</v>
      </c>
      <c r="E123" s="10">
        <f>CHOOSE($C$2,B123,C123,D123)</f>
        <v/>
      </c>
      <c r="F123" t="inlineStr"/>
    </row>
    <row r="125">
      <c r="A125" s="5" t="inlineStr">
        <is>
          <t>Capital and finance</t>
        </is>
      </c>
      <c r="B125" s="6" t="n"/>
      <c r="C125" s="6" t="n"/>
      <c r="D125" s="6" t="n"/>
      <c r="E125" s="6" t="n"/>
      <c r="F125" s="6" t="n"/>
    </row>
    <row r="126">
      <c r="A126" t="inlineStr">
        <is>
          <t>Loan interest rate</t>
        </is>
      </c>
      <c r="B126" s="9" t="n">
        <v>0.06</v>
      </c>
      <c r="C126" s="9" t="n">
        <v>0.06</v>
      </c>
      <c r="D126" s="9" t="n">
        <v>0.06</v>
      </c>
      <c r="E126" s="10">
        <f>CHOOSE($C$2,B126,C126,D126)</f>
        <v/>
      </c>
      <c r="F126" t="inlineStr">
        <is>
          <t>Pitch Together 6%; LTA 5%; Charity Bank / Triodos similar</t>
        </is>
      </c>
    </row>
    <row r="127">
      <c r="A127" t="inlineStr">
        <is>
          <t>Loan term (years)</t>
        </is>
      </c>
      <c r="B127" s="7" t="n">
        <v>10</v>
      </c>
      <c r="C127" s="7" t="n">
        <v>10</v>
      </c>
      <c r="D127" s="7" t="n">
        <v>10</v>
      </c>
      <c r="E127" s="8">
        <f>CHOOSE($C$2,B127,C127,D127)</f>
        <v/>
      </c>
      <c r="F12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34" customWidth="1" min="1" max="1"/>
    <col width="42" customWidth="1" min="2" max="2"/>
    <col width="42" customWidth="1" min="3" max="3"/>
    <col width="42" customWidth="1" min="4" max="4"/>
    <col width="42" customWidth="1" min="5" max="5"/>
  </cols>
  <sheetData>
    <row r="1">
      <c r="A1" s="1" t="inlineStr">
        <is>
          <t>Legal structure — what each one buys and costs</t>
        </is>
      </c>
    </row>
    <row r="3">
      <c r="A3" s="5" t="inlineStr"/>
      <c r="B3" s="5" t="inlineStr">
        <is>
          <t>Ltd company</t>
        </is>
      </c>
      <c r="C3" s="5" t="inlineStr">
        <is>
          <t>CIC (ltd by guarantee)</t>
        </is>
      </c>
      <c r="D3" s="5" t="inlineStr">
        <is>
          <t>Charity / CIO (trading sub for padel, café)</t>
        </is>
      </c>
      <c r="E3" s="5" t="inlineStr">
        <is>
          <t>CASC</t>
        </is>
      </c>
    </row>
    <row r="4">
      <c r="A4" s="21" t="inlineStr">
        <is>
          <t>Mandatory 80% rates relief</t>
        </is>
      </c>
      <c r="B4" s="21" t="inlineStr">
        <is>
          <t>No</t>
        </is>
      </c>
      <c r="C4" s="21" t="inlineStr">
        <is>
          <t>No</t>
        </is>
      </c>
      <c r="D4" s="21" t="inlineStr">
        <is>
          <t>Yes (occupier must be the charity, use mainly charitable)</t>
        </is>
      </c>
      <c r="E4" s="21" t="inlineStr">
        <is>
          <t>Yes, +20% TVBC top-up = 100%</t>
        </is>
      </c>
    </row>
    <row r="5">
      <c r="A5" s="21" t="inlineStr">
        <is>
          <t>TVBC discretionary relief</t>
        </is>
      </c>
      <c r="B5" s="21" t="inlineStr">
        <is>
          <t>No</t>
        </is>
      </c>
      <c r="C5" s="21" t="inlineStr">
        <is>
          <t>Up to 100% for a local non-profit recreation body; council bears 40% of the cost; needs 2 years' accounts</t>
        </is>
      </c>
      <c r="D5" s="21" t="inlineStr">
        <is>
          <t>Top-up to 100% possible</t>
        </is>
      </c>
      <c r="E5" s="21" t="inlineStr">
        <is>
          <t>Automatic 20%</t>
        </is>
      </c>
    </row>
    <row r="6">
      <c r="A6" s="21" t="inlineStr">
        <is>
          <t>Gift Aid on donations (+25%)</t>
        </is>
      </c>
      <c r="B6" s="21" t="inlineStr">
        <is>
          <t>No</t>
        </is>
      </c>
      <c r="C6" s="21" t="inlineStr">
        <is>
          <t>No</t>
        </is>
      </c>
      <c r="D6" s="21" t="inlineStr">
        <is>
          <t>Yes</t>
        </is>
      </c>
      <c r="E6" s="21" t="inlineStr">
        <is>
          <t>Yes (limits apply)</t>
        </is>
      </c>
    </row>
    <row r="7">
      <c r="A7" s="21" t="inlineStr">
        <is>
          <t>Grant access</t>
        </is>
      </c>
      <c r="B7" s="21" t="inlineStr">
        <is>
          <t>Very limited</t>
        </is>
      </c>
      <c r="C7" s="21" t="inlineStr">
        <is>
          <t>Lottery Reaching Communities, Football Foundation multi-sport, Sport England, TVBC S106</t>
        </is>
      </c>
      <c r="D7" s="21" t="inlineStr">
        <is>
          <t>All of CIC plus charity-only trusts (Garfield Weston, Bernard Sunley, Wolfson)</t>
        </is>
      </c>
      <c r="E7" s="21" t="inlineStr">
        <is>
          <t>Sport England, Football Foundation; many trusts exclude CASCs</t>
        </is>
      </c>
    </row>
    <row r="8">
      <c r="A8" s="21" t="inlineStr">
        <is>
          <t>Loans</t>
        </is>
      </c>
      <c r="B8" s="21" t="inlineStr">
        <is>
          <t>Commercial only</t>
        </is>
      </c>
      <c r="C8" s="21" t="inlineStr">
        <is>
          <t>Charity Bank, Triodos, Pitch Together (6%), LTA padel loan (5%)</t>
        </is>
      </c>
      <c r="D8" s="21" t="inlineStr">
        <is>
          <t>Same, usually better terms</t>
        </is>
      </c>
      <c r="E8" s="21" t="inlineStr">
        <is>
          <t>Same</t>
        </is>
      </c>
    </row>
    <row r="9">
      <c r="A9" s="21" t="inlineStr">
        <is>
          <t>Community share offer</t>
        </is>
      </c>
      <c r="B9" s="21" t="inlineStr">
        <is>
          <t>No</t>
        </is>
      </c>
      <c r="C9" s="21" t="inlineStr">
        <is>
          <t>Not the true form; CIC ltd by shares can issue capped-dividend shares</t>
        </is>
      </c>
      <c r="D9" s="21" t="inlineStr">
        <is>
          <t>No (a charitable Bencom can)</t>
        </is>
      </c>
      <c r="E9" s="21" t="inlineStr">
        <is>
          <t>No</t>
        </is>
      </c>
    </row>
    <row r="10">
      <c r="A10" s="21" t="inlineStr">
        <is>
          <t>Directors paid</t>
        </is>
      </c>
      <c r="B10" s="21" t="inlineStr">
        <is>
          <t>Yes</t>
        </is>
      </c>
      <c r="C10" s="21" t="inlineStr">
        <is>
          <t>Yes</t>
        </is>
      </c>
      <c r="D10" s="21" t="inlineStr">
        <is>
          <t>Trustees unpaid; founders become employees</t>
        </is>
      </c>
      <c r="E10" s="21" t="inlineStr">
        <is>
          <t>Officers usually unpaid</t>
        </is>
      </c>
    </row>
    <row r="11">
      <c r="A11" s="21" t="inlineStr">
        <is>
          <t>Trading limits</t>
        </is>
      </c>
      <c r="B11" s="21" t="inlineStr">
        <is>
          <t>None</t>
        </is>
      </c>
      <c r="C11" s="21" t="inlineStr">
        <is>
          <t>None (asset lock on surplus)</t>
        </is>
      </c>
      <c r="D11" s="21" t="inlineStr">
        <is>
          <t>Non-primary-purpose trading via subsidiary</t>
        </is>
      </c>
      <c r="E11" s="21" t="inlineStr">
        <is>
          <t>Trading turnover cap £100k; property income cap</t>
        </is>
      </c>
    </row>
    <row r="12">
      <c r="A12" s="21" t="inlineStr">
        <is>
          <t>Time to set up</t>
        </is>
      </c>
      <c r="B12" s="21" t="inlineStr">
        <is>
          <t>Days</t>
        </is>
      </c>
      <c r="C12" s="21" t="inlineStr">
        <is>
          <t>Weeks</t>
        </is>
      </c>
      <c r="D12" s="21" t="inlineStr">
        <is>
          <t>3–6 months (Charity Commission)</t>
        </is>
      </c>
      <c r="E12" s="21" t="inlineStr">
        <is>
          <t>Weeks (HMRC)</t>
        </is>
      </c>
    </row>
    <row r="13">
      <c r="A13" s="21" t="inlineStr">
        <is>
          <t>Fit for a £1.5m venue</t>
        </is>
      </c>
      <c r="B13" s="21" t="inlineStr">
        <is>
          <t>Only with investors</t>
        </is>
      </c>
      <c r="C13" s="21" t="inlineStr">
        <is>
          <t>Yes as operating company; weak on rates and Gift Aid</t>
        </is>
      </c>
      <c r="D13" s="21" t="inlineStr">
        <is>
          <t>Yes; best money, least founder control</t>
        </is>
      </c>
      <c r="E13" s="21" t="inlineStr">
        <is>
          <t>No — trading caps</t>
        </is>
      </c>
    </row>
    <row r="14">
      <c r="A14" s="21" t="inlineStr">
        <is>
          <t>Rates relief % used by this model</t>
        </is>
      </c>
      <c r="B14" s="22" t="n">
        <v>0</v>
      </c>
      <c r="C14" s="22" t="n">
        <v>0</v>
      </c>
      <c r="D14" s="22" t="n">
        <v>0.8</v>
      </c>
      <c r="E14" s="22" t="n">
        <v>1</v>
      </c>
    </row>
    <row r="15">
      <c r="A15" s="21" t="inlineStr">
        <is>
          <t>Gift Aid flag used by this model</t>
        </is>
      </c>
      <c r="B15" s="23" t="n">
        <v>0</v>
      </c>
      <c r="C15" s="23" t="n">
        <v>0</v>
      </c>
      <c r="D15" s="23" t="n">
        <v>1</v>
      </c>
      <c r="E15" s="23" t="n">
        <v>1</v>
      </c>
    </row>
    <row r="17">
      <c r="A17" t="inlineStr">
        <is>
          <t>Active rates relief</t>
        </is>
      </c>
      <c r="B17" s="20">
        <f>IF(ISNUMBER(Inputs!$E$92),Inputs!$E$92,INDEX($B$14:$E$14,1,Inputs!$C$3))</f>
        <v/>
      </c>
    </row>
    <row r="18">
      <c r="A18" t="inlineStr">
        <is>
          <t>Active Gift Aid flag</t>
        </is>
      </c>
      <c r="B18" s="24">
        <f>INDEX($B$15:$E$15,1,Inputs!$C$3)</f>
        <v/>
      </c>
    </row>
    <row r="20">
      <c r="A20" s="25" t="inlineStr">
        <is>
          <t>Recommendation: CIC now for speed and paid directors, and apply to TVBC for discretionary relief on day one. Convert the venue-holding entity to a CIO once trading, or found the CIO in parallel so grants and Gift Aid land in it. The rates line is worth more than any single revenue line.</t>
        </is>
      </c>
    </row>
    <row r="21"/>
    <row r="22"/>
  </sheetData>
  <mergeCells count="1">
    <mergeCell ref="A20:E2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9"/>
  <sheetViews>
    <sheetView workbookViewId="0">
      <selection activeCell="A1" sqref="A1"/>
    </sheetView>
  </sheetViews>
  <sheetFormatPr baseColWidth="8" defaultRowHeight="15"/>
  <cols>
    <col width="46" customWidth="1" min="1" max="1"/>
    <col width="14" customWidth="1" min="2" max="2"/>
    <col width="60" customWidth="1" min="3" max="3"/>
  </cols>
  <sheetData>
    <row r="1">
      <c r="A1" s="1" t="inlineStr">
        <is>
          <t>Steady-state annual P&amp;L (year 3 income, full rent)</t>
        </is>
      </c>
    </row>
    <row r="2">
      <c r="A2" s="4" t="inlineStr">
        <is>
          <t>Line</t>
        </is>
      </c>
      <c r="B2" s="4" t="inlineStr">
        <is>
          <t>£ per year</t>
        </is>
      </c>
      <c r="C2" s="4" t="inlineStr">
        <is>
          <t>How it is built</t>
        </is>
      </c>
    </row>
    <row r="3">
      <c r="A3" s="5" t="inlineStr">
        <is>
          <t>Income</t>
        </is>
      </c>
      <c r="B3" s="6" t="n"/>
    </row>
    <row r="4">
      <c r="A4" t="inlineStr">
        <is>
          <t>Netball — evening external hire</t>
        </is>
      </c>
      <c r="B4" s="26">
        <f>(Inputs!$E$7*Inputs!$E$16-Inputs!$E$17)*Inputs!$E$18*Inputs!$E$19*Inputs!$E$12</f>
        <v/>
      </c>
      <c r="C4" t="inlineStr">
        <is>
          <t>(courts x 20 h − Momentum's hours) x fill x rate x weeks</t>
        </is>
      </c>
    </row>
    <row r="5">
      <c r="A5" t="inlineStr">
        <is>
          <t>Netball — weekend hire</t>
        </is>
      </c>
      <c r="B5" s="26">
        <f>Inputs!$E$7*Inputs!$E$20*Inputs!$E$21*Inputs!$E$22*Inputs!$E$12</f>
        <v/>
      </c>
      <c r="C5" t="inlineStr"/>
    </row>
    <row r="6">
      <c r="A6" t="inlineStr">
        <is>
          <t>Netball — daytime hire</t>
        </is>
      </c>
      <c r="B6" s="26">
        <f>Inputs!$E$7*Inputs!$E$23*Inputs!$E$24*Inputs!$E$25*Inputs!$E$12</f>
        <v/>
      </c>
      <c r="C6" t="inlineStr"/>
    </row>
    <row r="7">
      <c r="A7" t="inlineStr">
        <is>
          <t>Momentum: programmes (mode 1) or court hire paid by Momentum Ltd (mode 2)</t>
        </is>
      </c>
      <c r="B7" s="26">
        <f>IF(Inputs!$E$28=1,Inputs!$E$29,Inputs!$E$17*Inputs!$E$19*(1-Inputs!$E$30)*Inputs!$E$31)</f>
        <v/>
      </c>
      <c r="C7" t="inlineStr">
        <is>
          <t>mode 2 = Momentum's evening court-hours x evening rate x (1 − block discount) x weeks</t>
        </is>
      </c>
    </row>
    <row r="8">
      <c r="A8" t="inlineStr">
        <is>
          <t>Padel court hire</t>
        </is>
      </c>
      <c r="B8" s="26">
        <f>Inputs!$E$8*Inputs!$E$34*Inputs!$E$35*Inputs!$E$36*Inputs!$E$12</f>
        <v/>
      </c>
      <c r="C8" t="inlineStr"/>
    </row>
    <row r="9">
      <c r="A9" t="inlineStr">
        <is>
          <t>Pickleball court hire</t>
        </is>
      </c>
      <c r="B9" s="26">
        <f>Inputs!$E$9*Inputs!$E$39*Inputs!$E$40*Inputs!$E$41*Inputs!$E$12</f>
        <v/>
      </c>
      <c r="C9" t="inlineStr"/>
    </row>
    <row r="10">
      <c r="A10" t="inlineStr">
        <is>
          <t>Winter cricket nets</t>
        </is>
      </c>
      <c r="B10" s="26">
        <f>Inputs!$E$10*Inputs!$E$45*Inputs!$E$46*Inputs!$E$47*Inputs!$E$44</f>
        <v/>
      </c>
      <c r="C10" t="inlineStr"/>
    </row>
    <row r="11">
      <c r="A11" t="inlineStr">
        <is>
          <t>Bouldering room</t>
        </is>
      </c>
      <c r="B11" s="26">
        <f>Inputs!$E$11*Inputs!$E$50</f>
        <v/>
      </c>
      <c r="C11" t="inlineStr"/>
    </row>
    <row r="12">
      <c r="A12" t="inlineStr">
        <is>
          <t>Gym memberships</t>
        </is>
      </c>
      <c r="B12" s="26">
        <f>Inputs!$E$54*Inputs!$E$55*12</f>
        <v/>
      </c>
      <c r="C12" t="inlineStr"/>
    </row>
    <row r="13">
      <c r="A13" t="inlineStr">
        <is>
          <t>Netball S&amp;C and injury-prevention classes</t>
        </is>
      </c>
      <c r="B13" s="26">
        <f>Inputs!$E$56*Inputs!$E$57*Inputs!$E$58*Inputs!$E$12</f>
        <v/>
      </c>
      <c r="C13" t="inlineStr"/>
    </row>
    <row r="14">
      <c r="A14" t="inlineStr">
        <is>
          <t>Physio rooms and programmes</t>
        </is>
      </c>
      <c r="B14" s="26">
        <f>Inputs!$E$13*Inputs!$E$61*12+Inputs!$E$62</f>
        <v/>
      </c>
      <c r="C14" t="inlineStr"/>
    </row>
    <row r="15">
      <c r="A15" t="inlineStr">
        <is>
          <t>Café and bar sales</t>
        </is>
      </c>
      <c r="B15" s="26">
        <f>Inputs!$E$65*Inputs!$E$66*Inputs!$E$12</f>
        <v/>
      </c>
      <c r="C15" t="inlineStr"/>
    </row>
    <row r="16">
      <c r="A16" t="inlineStr">
        <is>
          <t>Tournaments and events</t>
        </is>
      </c>
      <c r="B16" s="26">
        <f>Inputs!$E$70*Inputs!$E$71</f>
        <v/>
      </c>
      <c r="C16" t="inlineStr"/>
    </row>
    <row r="17">
      <c r="A17" t="inlineStr">
        <is>
          <t>Holiday camps (Mini Momentum)</t>
        </is>
      </c>
      <c r="B17" s="26">
        <f>Inputs!$E$72*Inputs!$E$73*Inputs!$E$74*5</f>
        <v/>
      </c>
      <c r="C17" t="inlineStr"/>
    </row>
    <row r="18">
      <c r="A18" t="inlineStr">
        <is>
          <t>Parties</t>
        </is>
      </c>
      <c r="B18" s="26">
        <f>Inputs!$E$75*Inputs!$E$76*Inputs!$E$12</f>
        <v/>
      </c>
      <c r="C18" t="inlineStr"/>
    </row>
    <row r="19">
      <c r="A19" t="inlineStr">
        <is>
          <t>Meeting room hire</t>
        </is>
      </c>
      <c r="B19" s="26">
        <f>Inputs!$E$77</f>
        <v/>
      </c>
      <c r="C19" t="inlineStr"/>
    </row>
    <row r="20">
      <c r="A20" t="inlineStr">
        <is>
          <t>Sponsorship and naming</t>
        </is>
      </c>
      <c r="B20" s="26">
        <f>Inputs!$E$80+Inputs!$E$81*Inputs!$E$82+Inputs!$E$83</f>
        <v/>
      </c>
      <c r="C20" t="inlineStr"/>
    </row>
    <row r="21">
      <c r="A21" t="inlineStr">
        <is>
          <t>Donations (+ Gift Aid if charity/CASC)</t>
        </is>
      </c>
      <c r="B21" s="26">
        <f>Inputs!$E$84*(1+0.25*Structure!$B$18)</f>
        <v/>
      </c>
      <c r="C21" t="inlineStr"/>
    </row>
    <row r="22">
      <c r="A22" s="27" t="inlineStr">
        <is>
          <t>Total income</t>
        </is>
      </c>
      <c r="B22" s="12">
        <f>SUM(B4:B21)</f>
        <v/>
      </c>
      <c r="C22" t="inlineStr"/>
    </row>
    <row r="23">
      <c r="A23" s="5" t="inlineStr">
        <is>
          <t>Occupancy</t>
        </is>
      </c>
      <c r="B23" s="6" t="n"/>
    </row>
    <row r="24">
      <c r="A24" t="inlineStr">
        <is>
          <t>Rent</t>
        </is>
      </c>
      <c r="B24" s="26">
        <f>Inputs!$E$87</f>
        <v/>
      </c>
      <c r="C24" t="inlineStr"/>
    </row>
    <row r="25">
      <c r="A25" t="inlineStr">
        <is>
          <t>Business rates after relief</t>
        </is>
      </c>
      <c r="B25" s="26">
        <f>Inputs!$E$90*Inputs!$E$91*(1-Structure!$B$17)</f>
        <v/>
      </c>
      <c r="C25" t="inlineStr">
        <is>
          <t>RV x multiplier x (1 − relief from Structure sheet)</t>
        </is>
      </c>
    </row>
    <row r="26">
      <c r="A26" t="inlineStr">
        <is>
          <t>Insurance</t>
        </is>
      </c>
      <c r="B26" s="26">
        <f>Inputs!$E$93</f>
        <v/>
      </c>
      <c r="C26" t="inlineStr"/>
    </row>
    <row r="27">
      <c r="A27" t="inlineStr">
        <is>
          <t>Repairs and maintenance (FRI)</t>
        </is>
      </c>
      <c r="B27" s="26">
        <f>Inputs!$E$94</f>
        <v/>
      </c>
      <c r="C27" t="inlineStr"/>
    </row>
    <row r="28">
      <c r="A28" t="inlineStr">
        <is>
          <t>Utilities net of PV</t>
        </is>
      </c>
      <c r="B28" s="26">
        <f>Inputs!$E$95-Inputs!$E$96</f>
        <v/>
      </c>
      <c r="C28" t="inlineStr"/>
    </row>
    <row r="29">
      <c r="A29" s="4" t="inlineStr">
        <is>
          <t>Total occupancy</t>
        </is>
      </c>
      <c r="B29" s="28">
        <f>SUM(B24:B28)</f>
        <v/>
      </c>
      <c r="C29" t="inlineStr"/>
    </row>
    <row r="30">
      <c r="A30" s="5" t="inlineStr">
        <is>
          <t>Staff</t>
        </is>
      </c>
      <c r="B30" s="6" t="n"/>
    </row>
    <row r="31">
      <c r="A31" t="inlineStr">
        <is>
          <t>Salaried staff</t>
        </is>
      </c>
      <c r="B31" s="26">
        <f>(Inputs!$E$99+Inputs!$E$100*Inputs!$E$101+Inputs!$E$102*Inputs!$E$103+Inputs!$E$104*Inputs!$E$105+Inputs!$E$106)*(1+Inputs!$E$108)</f>
        <v/>
      </c>
      <c r="C31" t="inlineStr"/>
    </row>
    <row r="32">
      <c r="A32" t="inlineStr">
        <is>
          <t>Coaches and S&amp;C (variable; programme coaching only in mode 1)</t>
        </is>
      </c>
      <c r="B32" s="26">
        <f>(IF(Inputs!$E$28=1,B7,0)+B13)*Inputs!$E$107*(1+Inputs!$E$108)</f>
        <v/>
      </c>
      <c r="C32" t="inlineStr"/>
    </row>
    <row r="33">
      <c r="A33" t="inlineStr">
        <is>
          <t>Bouldering staff (only if the room exists)</t>
        </is>
      </c>
      <c r="B33" s="26">
        <f>IF(Inputs!$E$11&gt;0,Inputs!$E$51*(1+Inputs!$E$108),0)</f>
        <v/>
      </c>
      <c r="C33" t="inlineStr"/>
    </row>
    <row r="34">
      <c r="A34" s="4" t="inlineStr">
        <is>
          <t>Total staff</t>
        </is>
      </c>
      <c r="B34" s="28">
        <f>B31+B32+B33</f>
        <v/>
      </c>
      <c r="C34" t="inlineStr"/>
    </row>
    <row r="35">
      <c r="A35" s="5" t="inlineStr">
        <is>
          <t>Other operating</t>
        </is>
      </c>
      <c r="B35" s="6" t="n"/>
    </row>
    <row r="36">
      <c r="A36" t="inlineStr">
        <is>
          <t>Café cost of sales</t>
        </is>
      </c>
      <c r="B36" s="26">
        <f>B15*(1-Inputs!$E$67)</f>
        <v/>
      </c>
      <c r="C36" t="inlineStr"/>
    </row>
    <row r="37">
      <c r="A37" t="inlineStr">
        <is>
          <t>Booking, payments, software</t>
        </is>
      </c>
      <c r="B37" s="26">
        <f>B22*Inputs!$E$112</f>
        <v/>
      </c>
      <c r="C37" t="inlineStr"/>
    </row>
    <row r="38">
      <c r="A38" t="inlineStr">
        <is>
          <t>Marketing</t>
        </is>
      </c>
      <c r="B38" s="26">
        <f>Inputs!$E$113</f>
        <v/>
      </c>
      <c r="C38" t="inlineStr"/>
    </row>
    <row r="39">
      <c r="A39" t="inlineStr">
        <is>
          <t>Professional fees</t>
        </is>
      </c>
      <c r="B39" s="26">
        <f>Inputs!$E$114</f>
        <v/>
      </c>
      <c r="C39" t="inlineStr"/>
    </row>
    <row r="40">
      <c r="A40" t="inlineStr">
        <is>
          <t>Equipment and consumables</t>
        </is>
      </c>
      <c r="B40" s="26">
        <f>Inputs!$E$115</f>
        <v/>
      </c>
      <c r="C40" t="inlineStr"/>
    </row>
    <row r="41">
      <c r="A41" t="inlineStr">
        <is>
          <t>Contingency</t>
        </is>
      </c>
      <c r="B41" s="26">
        <f>(B26+B27+B28+B34+B36+B37+B38+B39+B40)*Inputs!$E$116</f>
        <v/>
      </c>
      <c r="C41" t="inlineStr">
        <is>
          <t>on everything except rent and rates</t>
        </is>
      </c>
    </row>
    <row r="42">
      <c r="A42" s="4" t="inlineStr">
        <is>
          <t>Total other operating</t>
        </is>
      </c>
      <c r="B42" s="28">
        <f>SUM(B36:B41)</f>
        <v/>
      </c>
      <c r="C42" t="inlineStr"/>
    </row>
    <row r="43">
      <c r="A43" s="5" t="inlineStr">
        <is>
          <t>Result</t>
        </is>
      </c>
      <c r="B43" s="6" t="n"/>
    </row>
    <row r="44">
      <c r="A44" s="4" t="inlineStr">
        <is>
          <t>Total costs</t>
        </is>
      </c>
      <c r="B44" s="28">
        <f>B29+B34+B42</f>
        <v/>
      </c>
      <c r="C44" t="inlineStr"/>
    </row>
    <row r="45">
      <c r="A45" s="27" t="inlineStr">
        <is>
          <t>Surplus before loan repayments (EBITDA)</t>
        </is>
      </c>
      <c r="B45" s="12">
        <f>B22-B44</f>
        <v/>
      </c>
      <c r="C45" t="inlineStr"/>
    </row>
    <row r="46">
      <c r="A46" t="inlineStr">
        <is>
          <t>Loan repayments (from Capital sheet)</t>
        </is>
      </c>
      <c r="B46" s="26">
        <f>-Capital!$B$43</f>
        <v/>
      </c>
      <c r="C46" t="inlineStr"/>
    </row>
    <row r="47">
      <c r="A47" s="27" t="inlineStr">
        <is>
          <t>Surplus after loan repayments</t>
        </is>
      </c>
      <c r="B47" s="12">
        <f>B45+B46</f>
        <v/>
      </c>
      <c r="C47" t="inlineStr"/>
    </row>
    <row r="48">
      <c r="A48" t="inlineStr">
        <is>
          <t>Memo: rates with no relief</t>
        </is>
      </c>
      <c r="B48" s="26">
        <f>Inputs!$E$90*Inputs!$E$91</f>
        <v/>
      </c>
      <c r="C48" t="inlineStr"/>
    </row>
    <row r="49">
      <c r="A49" t="inlineStr">
        <is>
          <t>Memo: rates saved by the structure</t>
        </is>
      </c>
      <c r="B49" s="26">
        <f>B48-B25</f>
        <v/>
      </c>
      <c r="C4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62" customWidth="1" min="1" max="1"/>
    <col width="13" customWidth="1" min="2" max="2"/>
    <col width="13" customWidth="1" min="3" max="3"/>
    <col width="13" customWidth="1" min="4" max="4"/>
    <col width="13" customWidth="1" min="5" max="5"/>
    <col width="13" customWidth="1" min="6" max="6"/>
    <col width="13" customWidth="1" min="7" max="7"/>
  </cols>
  <sheetData>
    <row r="1">
      <c r="A1" s="1" t="inlineStr">
        <is>
          <t>Five-year P&amp;L with ramp, rent-free period and stepped rent</t>
        </is>
      </c>
    </row>
    <row r="2">
      <c r="A2" s="4" t="inlineStr"/>
      <c r="B2" s="4" t="inlineStr">
        <is>
          <t>Year 1</t>
        </is>
      </c>
      <c r="C2" s="4" t="inlineStr">
        <is>
          <t>Year 2</t>
        </is>
      </c>
      <c r="D2" s="4" t="inlineStr">
        <is>
          <t>Year 3</t>
        </is>
      </c>
      <c r="E2" s="4" t="inlineStr">
        <is>
          <t>Year 4</t>
        </is>
      </c>
      <c r="F2" s="4" t="inlineStr">
        <is>
          <t>Year 5</t>
        </is>
      </c>
      <c r="G2" s="4" t="inlineStr">
        <is>
          <t>5-yr total</t>
        </is>
      </c>
    </row>
    <row r="3">
      <c r="A3" t="inlineStr">
        <is>
          <t>Income (steady state x ramp; sponsorship and donations unramped)</t>
        </is>
      </c>
      <c r="B3" s="26">
        <f>('Steady state'!$B$22-'Steady state'!$B$20-'Steady state'!$B$21)*Inputs!$E$119+'Steady state'!$B$20+'Steady state'!$B$21</f>
        <v/>
      </c>
      <c r="C3" s="26">
        <f>('Steady state'!$B$22-'Steady state'!$B$20-'Steady state'!$B$21)*Inputs!$E$120+'Steady state'!$B$20+'Steady state'!$B$21</f>
        <v/>
      </c>
      <c r="D3" s="26">
        <f>('Steady state'!$B$22-'Steady state'!$B$20-'Steady state'!$B$21)*Inputs!$E$121+'Steady state'!$B$20+'Steady state'!$B$21</f>
        <v/>
      </c>
      <c r="E3" s="26">
        <f>('Steady state'!$B$22-'Steady state'!$B$20-'Steady state'!$B$21)*Inputs!$E$122+'Steady state'!$B$20+'Steady state'!$B$21</f>
        <v/>
      </c>
      <c r="F3" s="26">
        <f>('Steady state'!$B$22-'Steady state'!$B$20-'Steady state'!$B$21)*Inputs!$E$123+'Steady state'!$B$20+'Steady state'!$B$21</f>
        <v/>
      </c>
      <c r="G3" s="28">
        <f>SUM(B3:F3)</f>
        <v/>
      </c>
    </row>
    <row r="4">
      <c r="A4" t="inlineStr">
        <is>
          <t>Rent</t>
        </is>
      </c>
      <c r="B4" s="26">
        <f>-'Steady state'!$B$24*(12-Inputs!$E$88)/12</f>
        <v/>
      </c>
      <c r="C4" s="26">
        <f>-'Steady state'!$B$24*Inputs!$E$89</f>
        <v/>
      </c>
      <c r="D4" s="26">
        <f>-'Steady state'!$B$24*1</f>
        <v/>
      </c>
      <c r="E4" s="26">
        <f>-'Steady state'!$B$24*1</f>
        <v/>
      </c>
      <c r="F4" s="26">
        <f>-'Steady state'!$B$24*1</f>
        <v/>
      </c>
      <c r="G4" s="28">
        <f>SUM(B4:F4)</f>
        <v/>
      </c>
    </row>
    <row r="5">
      <c r="A5" t="inlineStr">
        <is>
          <t>Rates after relief</t>
        </is>
      </c>
      <c r="B5" s="26">
        <f>-'Steady state'!$B$25</f>
        <v/>
      </c>
      <c r="C5" s="26">
        <f>-'Steady state'!$B$25</f>
        <v/>
      </c>
      <c r="D5" s="26">
        <f>-'Steady state'!$B$25</f>
        <v/>
      </c>
      <c r="E5" s="26">
        <f>-'Steady state'!$B$25</f>
        <v/>
      </c>
      <c r="F5" s="26">
        <f>-'Steady state'!$B$25</f>
        <v/>
      </c>
      <c r="G5" s="28">
        <f>SUM(B5:F5)</f>
        <v/>
      </c>
    </row>
    <row r="6">
      <c r="A6" t="inlineStr">
        <is>
          <t>Insurance, repairs, utilities</t>
        </is>
      </c>
      <c r="B6" s="26">
        <f>-('Steady state'!$B$26+'Steady state'!$B$27+'Steady state'!$B$28)</f>
        <v/>
      </c>
      <c r="C6" s="26">
        <f>-('Steady state'!$B$26+'Steady state'!$B$27+'Steady state'!$B$28)</f>
        <v/>
      </c>
      <c r="D6" s="26">
        <f>-('Steady state'!$B$26+'Steady state'!$B$27+'Steady state'!$B$28)</f>
        <v/>
      </c>
      <c r="E6" s="26">
        <f>-('Steady state'!$B$26+'Steady state'!$B$27+'Steady state'!$B$28)</f>
        <v/>
      </c>
      <c r="F6" s="26">
        <f>-('Steady state'!$B$26+'Steady state'!$B$27+'Steady state'!$B$28)</f>
        <v/>
      </c>
      <c r="G6" s="28">
        <f>SUM(B6:F6)</f>
        <v/>
      </c>
    </row>
    <row r="7">
      <c r="A7" t="inlineStr">
        <is>
          <t>Salaried staff (85% in year 1)</t>
        </is>
      </c>
      <c r="B7" s="26">
        <f>-'Steady state'!$B$31*0.85</f>
        <v/>
      </c>
      <c r="C7" s="26">
        <f>-'Steady state'!$B$31*1</f>
        <v/>
      </c>
      <c r="D7" s="26">
        <f>-'Steady state'!$B$31*1</f>
        <v/>
      </c>
      <c r="E7" s="26">
        <f>-'Steady state'!$B$31*1</f>
        <v/>
      </c>
      <c r="F7" s="26">
        <f>-'Steady state'!$B$31*1</f>
        <v/>
      </c>
      <c r="G7" s="28">
        <f>SUM(B7:F7)</f>
        <v/>
      </c>
    </row>
    <row r="8">
      <c r="A8" t="inlineStr">
        <is>
          <t>Coaches (scale with programmes)</t>
        </is>
      </c>
      <c r="B8" s="26">
        <f>-'Steady state'!$B$32*Inputs!$E$119</f>
        <v/>
      </c>
      <c r="C8" s="26">
        <f>-'Steady state'!$B$32*Inputs!$E$120</f>
        <v/>
      </c>
      <c r="D8" s="26">
        <f>-'Steady state'!$B$32*Inputs!$E$121</f>
        <v/>
      </c>
      <c r="E8" s="26">
        <f>-'Steady state'!$B$32*Inputs!$E$122</f>
        <v/>
      </c>
      <c r="F8" s="26">
        <f>-'Steady state'!$B$32*Inputs!$E$123</f>
        <v/>
      </c>
      <c r="G8" s="28">
        <f>SUM(B8:F8)</f>
        <v/>
      </c>
    </row>
    <row r="9">
      <c r="A9" t="inlineStr">
        <is>
          <t>Café cost of sales (scales)</t>
        </is>
      </c>
      <c r="B9" s="26">
        <f>-'Steady state'!$B$36*Inputs!$E$119</f>
        <v/>
      </c>
      <c r="C9" s="26">
        <f>-'Steady state'!$B$36*Inputs!$E$120</f>
        <v/>
      </c>
      <c r="D9" s="26">
        <f>-'Steady state'!$B$36*Inputs!$E$121</f>
        <v/>
      </c>
      <c r="E9" s="26">
        <f>-'Steady state'!$B$36*Inputs!$E$122</f>
        <v/>
      </c>
      <c r="F9" s="26">
        <f>-'Steady state'!$B$36*Inputs!$E$123</f>
        <v/>
      </c>
      <c r="G9" s="28">
        <f>SUM(B9:F9)</f>
        <v/>
      </c>
    </row>
    <row r="10">
      <c r="A10" t="inlineStr">
        <is>
          <t>Software and payments (scales)</t>
        </is>
      </c>
      <c r="B10" s="26">
        <f>-'Steady state'!$B$37*Inputs!$E$119</f>
        <v/>
      </c>
      <c r="C10" s="26">
        <f>-'Steady state'!$B$37*Inputs!$E$120</f>
        <v/>
      </c>
      <c r="D10" s="26">
        <f>-'Steady state'!$B$37*Inputs!$E$121</f>
        <v/>
      </c>
      <c r="E10" s="26">
        <f>-'Steady state'!$B$37*Inputs!$E$122</f>
        <v/>
      </c>
      <c r="F10" s="26">
        <f>-'Steady state'!$B$37*Inputs!$E$123</f>
        <v/>
      </c>
      <c r="G10" s="28">
        <f>SUM(B10:F10)</f>
        <v/>
      </c>
    </row>
    <row r="11">
      <c r="A11" t="inlineStr">
        <is>
          <t>Marketing, professional fees, equipment (year 1 marketing x1.5)</t>
        </is>
      </c>
      <c r="B11" s="26">
        <f>-('Steady state'!$B$38*1.5+'Steady state'!$B$39+'Steady state'!$B$40)</f>
        <v/>
      </c>
      <c r="C11" s="26">
        <f>-('Steady state'!$B$38*1+'Steady state'!$B$39+'Steady state'!$B$40)</f>
        <v/>
      </c>
      <c r="D11" s="26">
        <f>-('Steady state'!$B$38*1+'Steady state'!$B$39+'Steady state'!$B$40)</f>
        <v/>
      </c>
      <c r="E11" s="26">
        <f>-('Steady state'!$B$38*1+'Steady state'!$B$39+'Steady state'!$B$40)</f>
        <v/>
      </c>
      <c r="F11" s="26">
        <f>-('Steady state'!$B$38*1+'Steady state'!$B$39+'Steady state'!$B$40)</f>
        <v/>
      </c>
      <c r="G11" s="28">
        <f>SUM(B11:F11)</f>
        <v/>
      </c>
    </row>
    <row r="12">
      <c r="A12" t="inlineStr">
        <is>
          <t>Contingency</t>
        </is>
      </c>
      <c r="B12" s="26">
        <f>-'Steady state'!$B$41*Inputs!$E$119</f>
        <v/>
      </c>
      <c r="C12" s="26">
        <f>-'Steady state'!$B$41*Inputs!$E$120</f>
        <v/>
      </c>
      <c r="D12" s="26">
        <f>-'Steady state'!$B$41*Inputs!$E$121</f>
        <v/>
      </c>
      <c r="E12" s="26">
        <f>-'Steady state'!$B$41*Inputs!$E$122</f>
        <v/>
      </c>
      <c r="F12" s="26">
        <f>-'Steady state'!$B$41*Inputs!$E$123</f>
        <v/>
      </c>
      <c r="G12" s="28">
        <f>SUM(B12:F12)</f>
        <v/>
      </c>
    </row>
    <row r="13">
      <c r="A13" s="27" t="inlineStr">
        <is>
          <t>Surplus before loan repayments</t>
        </is>
      </c>
      <c r="B13" s="12">
        <f>SUM(B3:B12)</f>
        <v/>
      </c>
      <c r="C13" s="12">
        <f>SUM(C3:C12)</f>
        <v/>
      </c>
      <c r="D13" s="12">
        <f>SUM(D3:D12)</f>
        <v/>
      </c>
      <c r="E13" s="12">
        <f>SUM(E3:E12)</f>
        <v/>
      </c>
      <c r="F13" s="12">
        <f>SUM(F3:F12)</f>
        <v/>
      </c>
      <c r="G13" s="28">
        <f>SUM(B13:F13)</f>
        <v/>
      </c>
    </row>
    <row r="14">
      <c r="A14" t="inlineStr">
        <is>
          <t>Loan repayments</t>
        </is>
      </c>
      <c r="B14" s="26">
        <f>-Capital!$B$43</f>
        <v/>
      </c>
      <c r="C14" s="26">
        <f>-Capital!$B$43</f>
        <v/>
      </c>
      <c r="D14" s="26">
        <f>-Capital!$B$43</f>
        <v/>
      </c>
      <c r="E14" s="26">
        <f>-Capital!$B$43</f>
        <v/>
      </c>
      <c r="F14" s="26">
        <f>-Capital!$B$43</f>
        <v/>
      </c>
      <c r="G14" s="28">
        <f>SUM(B14:F14)</f>
        <v/>
      </c>
    </row>
    <row r="15">
      <c r="A15" s="27" t="inlineStr">
        <is>
          <t>Surplus / (deficit)</t>
        </is>
      </c>
      <c r="B15" s="12">
        <f>B13+B14</f>
        <v/>
      </c>
      <c r="C15" s="12">
        <f>C13+C14</f>
        <v/>
      </c>
      <c r="D15" s="12">
        <f>D13+D14</f>
        <v/>
      </c>
      <c r="E15" s="12">
        <f>E13+E14</f>
        <v/>
      </c>
      <c r="F15" s="12">
        <f>F13+F14</f>
        <v/>
      </c>
      <c r="G15" s="28">
        <f>SUM(B15:F15)</f>
        <v/>
      </c>
    </row>
    <row r="16">
      <c r="A16" s="4" t="inlineStr">
        <is>
          <t>Cumulative</t>
        </is>
      </c>
      <c r="B16" s="28">
        <f>SUM($B$15:B15)</f>
        <v/>
      </c>
      <c r="C16" s="28">
        <f>SUM($B$15:C15)</f>
        <v/>
      </c>
      <c r="D16" s="28">
        <f>SUM($B$15:D15)</f>
        <v/>
      </c>
      <c r="E16" s="28">
        <f>SUM($B$15:E15)</f>
        <v/>
      </c>
      <c r="F16" s="28">
        <f>SUM($B$15:F15)</f>
        <v/>
      </c>
      <c r="G16" s="28">
        <f>SUM(B16:F16)</f>
        <v/>
      </c>
    </row>
    <row r="19">
      <c r="A19" t="inlineStr">
        <is>
          <t>Working capital needed = the most negative cumulative figure above, plus a buffer. It goes into the Capital sheet.</t>
        </is>
      </c>
    </row>
    <row r="20">
      <c r="A20" t="inlineStr">
        <is>
          <t>Minimum cumulative</t>
        </is>
      </c>
      <c r="B20" s="12">
        <f>MIN(B16:F16)</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cols>
    <col width="62" customWidth="1" min="1" max="1"/>
    <col width="14" customWidth="1" min="2" max="2"/>
    <col width="80" customWidth="1" min="3" max="3"/>
    <col width="14" customWidth="1" min="4" max="4"/>
  </cols>
  <sheetData>
    <row r="1">
      <c r="A1" s="1" t="inlineStr">
        <is>
          <t>Capital need and funding stack</t>
        </is>
      </c>
    </row>
    <row r="2">
      <c r="A2" s="4" t="inlineStr">
        <is>
          <t>Uses</t>
        </is>
      </c>
      <c r="B2" s="4" t="inlineStr">
        <is>
          <t>£</t>
        </is>
      </c>
      <c r="C2" s="4" t="inlineStr">
        <is>
          <t>Basis</t>
        </is>
      </c>
    </row>
    <row r="3">
      <c r="A3" t="inlineStr">
        <is>
          <t>Sports floor, netball courts (630 sq m each at £110/sq m)</t>
        </is>
      </c>
      <c r="B3" s="26">
        <f>Inputs!$E$7*630*110</f>
        <v/>
      </c>
      <c r="C3" t="inlineStr">
        <is>
          <t>Area-elastic sports floor with line marking</t>
        </is>
      </c>
    </row>
    <row r="4">
      <c r="A4" t="inlineStr">
        <is>
          <t>Padel courts, indoor, installed</t>
        </is>
      </c>
      <c r="B4" s="26">
        <f>Inputs!$E$8*45000</f>
        <v/>
      </c>
      <c r="C4" t="inlineStr">
        <is>
          <t>£35–50k per court</t>
        </is>
      </c>
    </row>
    <row r="5">
      <c r="A5" t="inlineStr">
        <is>
          <t>Pickleball courts, cricket nets, bouldering room</t>
        </is>
      </c>
      <c r="B5" s="26">
        <f>Inputs!$E$9*8000+Inputs!$E$10*4000+Inputs!$E$11*700</f>
        <v/>
      </c>
      <c r="C5" t="inlineStr">
        <is>
          <t>£8k per pickleball court on the sports floor; £4k per retractable lane; £700/sq m bouldering</t>
        </is>
      </c>
    </row>
    <row r="6">
      <c r="A6" t="inlineStr">
        <is>
          <t>Gym fit-out and equipment (~210 sq m in the span A end)</t>
        </is>
      </c>
      <c r="B6" s="11" t="n">
        <v>100000</v>
      </c>
      <c r="C6" t="inlineStr"/>
    </row>
    <row r="7">
      <c r="A7" t="inlineStr">
        <is>
          <t>Heating and ventilation for occupied sport</t>
        </is>
      </c>
      <c r="B7" s="11" t="n">
        <v>150000</v>
      </c>
      <c r="C7" t="inlineStr"/>
    </row>
    <row r="8">
      <c r="A8" t="inlineStr">
        <is>
          <t>Changing rooms, café, reception, partitions</t>
        </is>
      </c>
      <c r="B8" s="11" t="n">
        <v>300000</v>
      </c>
      <c r="C8" t="inlineStr">
        <is>
          <t>Existing WCs and showers reduce this</t>
        </is>
      </c>
    </row>
    <row r="9">
      <c r="A9" t="inlineStr">
        <is>
          <t>Netball posts, nets, curtains, lighting changes, scoreboards</t>
        </is>
      </c>
      <c r="B9" s="11" t="n">
        <v>60000</v>
      </c>
      <c r="C9" t="inlineStr"/>
    </row>
    <row r="10">
      <c r="A10" t="inlineStr">
        <is>
          <t>Physio rooms and office conversion</t>
        </is>
      </c>
      <c r="B10" s="11" t="n">
        <v>40000</v>
      </c>
      <c r="C10" t="inlineStr"/>
    </row>
    <row r="11">
      <c r="A11" t="inlineStr">
        <is>
          <t>IT, booking system, access control, AV</t>
        </is>
      </c>
      <c r="B11" s="11" t="n">
        <v>40000</v>
      </c>
      <c r="C11" t="inlineStr"/>
    </row>
    <row r="12">
      <c r="A12" t="inlineStr">
        <is>
          <t>Planning, design and professional fees (12%)</t>
        </is>
      </c>
      <c r="B12" s="26">
        <f>SUM(B3:B11)*0.12</f>
        <v/>
      </c>
      <c r="C12" t="inlineStr"/>
    </row>
    <row r="13">
      <c r="A13" t="inlineStr">
        <is>
          <t>Contingency (10%)</t>
        </is>
      </c>
      <c r="B13" s="26">
        <f>SUM(B3:B12)*0.10</f>
        <v/>
      </c>
      <c r="C13" t="inlineStr"/>
    </row>
    <row r="14">
      <c r="A14" t="inlineStr">
        <is>
          <t>Rent deposit or guarantee (6 months)</t>
        </is>
      </c>
      <c r="B14" s="26">
        <f>Inputs!$E$87/2</f>
        <v/>
      </c>
      <c r="C14" t="inlineStr">
        <is>
          <t>Negotiate a guarantee instead of cash</t>
        </is>
      </c>
    </row>
    <row r="15">
      <c r="A15" t="inlineStr">
        <is>
          <t>Working capital for years 1–2 (from 5 year sheet, + £50k buffer)</t>
        </is>
      </c>
      <c r="B15" s="26">
        <f>MAX(0,-'5 year'!$B$20)+50000</f>
        <v/>
      </c>
      <c r="C15" t="inlineStr"/>
    </row>
    <row r="16">
      <c r="A16" s="4" t="inlineStr">
        <is>
          <t>Total capital need</t>
        </is>
      </c>
      <c r="B16" s="12">
        <f>SUM(B3:B15)</f>
        <v/>
      </c>
    </row>
    <row r="18">
      <c r="A18" s="4" t="inlineStr">
        <is>
          <t>Sources (targets, not commitments)</t>
        </is>
      </c>
      <c r="B18" s="4" t="inlineStr">
        <is>
          <t>£</t>
        </is>
      </c>
      <c r="C18" s="4" t="inlineStr">
        <is>
          <t>Route and status</t>
        </is>
      </c>
    </row>
    <row r="19">
      <c r="A19" t="inlineStr">
        <is>
          <t>Landlord capital contribution</t>
        </is>
      </c>
      <c r="B19" s="11" t="n">
        <v>150000</v>
      </c>
      <c r="C19" t="inlineStr">
        <is>
          <t>Ask: unit empty since 2023; they refurbished at cost</t>
        </is>
      </c>
      <c r="D19" t="inlineStr">
        <is>
          <t>grant/equity</t>
        </is>
      </c>
    </row>
    <row r="20">
      <c r="A20" t="inlineStr">
        <is>
          <t>Football Foundation multi-sport grassroots facilities</t>
        </is>
      </c>
      <c r="B20" s="11" t="n">
        <v>250000</v>
      </c>
      <c r="C20" t="inlineStr">
        <is>
          <t>Netball named as a beneficiary of the £98m/yr programme; apply via Hampshire FA / England Netball</t>
        </is>
      </c>
      <c r="D20" t="inlineStr">
        <is>
          <t>grant/equity</t>
        </is>
      </c>
    </row>
    <row r="21">
      <c r="A21" t="inlineStr">
        <is>
          <t>National Lottery Community Fund — Reaching Communities</t>
        </is>
      </c>
      <c r="B21" s="11" t="n">
        <v>200000</v>
      </c>
      <c r="C21" t="inlineStr">
        <is>
          <t>£20k to £500k+; funds building work for CICs and charities</t>
        </is>
      </c>
      <c r="D21" t="inlineStr">
        <is>
          <t>grant/equity</t>
        </is>
      </c>
    </row>
    <row r="22">
      <c r="A22" t="inlineStr">
        <is>
          <t>Test Valley BC — S106 / CIL sport contributions</t>
        </is>
      </c>
      <c r="B22" s="11" t="n">
        <v>150000</v>
      </c>
      <c r="C22" t="inlineStr">
        <is>
          <t>East Anton and Picket Twenty growth; strategy forecasts a 6–8 court hall need by 2036</t>
        </is>
      </c>
      <c r="D22" t="inlineStr">
        <is>
          <t>grant/equity</t>
        </is>
      </c>
    </row>
    <row r="23">
      <c r="A23" t="inlineStr">
        <is>
          <t>England Netball / Sport England</t>
        </is>
      </c>
      <c r="B23" s="11" t="n">
        <v>100000</v>
      </c>
      <c r="C23" t="inlineStr">
        <is>
          <t>Via the Netball Development Officer; EN has £21.2m from Sport England to 2029</t>
        </is>
      </c>
      <c r="D23" t="inlineStr">
        <is>
          <t>grant/equity</t>
        </is>
      </c>
    </row>
    <row r="24">
      <c r="A24" t="inlineStr">
        <is>
          <t>Armed Forces Covenant Fund Trust</t>
        </is>
      </c>
      <c r="B24" s="11" t="n">
        <v>50000</v>
      </c>
      <c r="C24" t="inlineStr">
        <is>
          <t>Army HQ is in Andover; family and wellbeing programmes</t>
        </is>
      </c>
      <c r="D24" t="inlineStr">
        <is>
          <t>grant/equity</t>
        </is>
      </c>
    </row>
    <row r="25">
      <c r="A25" t="inlineStr">
        <is>
          <t>Charitable trusts (Garfield Weston, Bernard Sunley, Wolfson)</t>
        </is>
      </c>
      <c r="B25" s="11" t="n">
        <v>100000</v>
      </c>
      <c r="C25" t="inlineStr">
        <is>
          <t>Charity only</t>
        </is>
      </c>
      <c r="D25" t="inlineStr">
        <is>
          <t>grant/equity</t>
        </is>
      </c>
    </row>
    <row r="26">
      <c r="A26" t="inlineStr">
        <is>
          <t>Local sports charity: seed for Phase 1 and match funding</t>
        </is>
      </c>
      <c r="B26" s="11" t="n">
        <v>25000</v>
      </c>
      <c r="C26" t="inlineStr">
        <is>
          <t>Known to Adam; pays the survey, pre-app and engineer so no director funds Phase 1 personally</t>
        </is>
      </c>
      <c r="D26" t="inlineStr">
        <is>
          <t>grant/equity</t>
        </is>
      </c>
    </row>
    <row r="27">
      <c r="A27" t="inlineStr">
        <is>
          <t>Local private investors introduced by the charity (patient capital)</t>
        </is>
      </c>
      <c r="B27" s="11" t="n">
        <v>250000</v>
      </c>
      <c r="C27" t="inlineStr">
        <is>
          <t>Capped-dividend shares in a CIC ltd by shares, a rent-deposit guarantee, or donations via the charitable arm. If it comes as a 6% loan instead, add about £34k a year of service</t>
        </is>
      </c>
      <c r="D27" t="inlineStr">
        <is>
          <t>grant/equity</t>
        </is>
      </c>
    </row>
    <row r="28">
      <c r="A28" t="inlineStr">
        <is>
          <t>Crowdfunder with Sport England match</t>
        </is>
      </c>
      <c r="B28" s="11" t="n">
        <v>30000</v>
      </c>
      <c r="C28" t="inlineStr">
        <is>
          <t>Match up to £15k; also a demand test</t>
        </is>
      </c>
      <c r="D28" t="inlineStr">
        <is>
          <t>grant/equity</t>
        </is>
      </c>
    </row>
    <row r="29">
      <c r="A29" t="inlineStr">
        <is>
          <t>Donations, naming-rights advance</t>
        </is>
      </c>
      <c r="B29" s="11" t="n">
        <v>100000</v>
      </c>
      <c r="C29" t="inlineStr">
        <is>
          <t>Year-0 sponsorship paid up front</t>
        </is>
      </c>
      <c r="D29" t="inlineStr">
        <is>
          <t>grant/equity</t>
        </is>
      </c>
    </row>
    <row r="30">
      <c r="A30" t="inlineStr">
        <is>
          <t>LTA padel loan (Quick Access / Facility Loan)</t>
        </is>
      </c>
      <c r="B30" s="11" t="n">
        <v>200000</v>
      </c>
      <c r="C30" t="inlineStr">
        <is>
          <t>£25k–£250k at 5%, up to 10 years</t>
        </is>
      </c>
      <c r="D30" t="inlineStr">
        <is>
          <t>loan</t>
        </is>
      </c>
    </row>
    <row r="31">
      <c r="A31" t="inlineStr">
        <is>
          <t>Charity Bank / Triodos / Pitch Together loan</t>
        </is>
      </c>
      <c r="B31" s="11" t="n">
        <v>400000</v>
      </c>
      <c r="C31" t="inlineStr">
        <is>
          <t>Pitch Together £25k–£300k at 6%; Charity Bank larger</t>
        </is>
      </c>
      <c r="D31" t="inlineStr">
        <is>
          <t>loan</t>
        </is>
      </c>
    </row>
    <row r="33">
      <c r="A33" s="4" t="inlineStr">
        <is>
          <t>Total grants, donations and equity</t>
        </is>
      </c>
      <c r="B33" s="26">
        <f>SUMIF(D19:D31,"grant/equity",B19:B31)</f>
        <v/>
      </c>
    </row>
    <row r="34">
      <c r="A34" s="4" t="inlineStr">
        <is>
          <t>Total loans</t>
        </is>
      </c>
      <c r="B34" s="26">
        <f>SUMIF(D19:D31,"loan",B19:B31)</f>
        <v/>
      </c>
    </row>
    <row r="35">
      <c r="A35" s="4" t="inlineStr">
        <is>
          <t>Total sources</t>
        </is>
      </c>
      <c r="B35" s="29">
        <f>B33+B34</f>
        <v/>
      </c>
    </row>
    <row r="36">
      <c r="A36" s="4" t="inlineStr">
        <is>
          <t>Surplus / (gap)</t>
        </is>
      </c>
      <c r="B36" s="29">
        <f>B35-B16</f>
        <v/>
      </c>
    </row>
    <row r="38">
      <c r="A38" t="inlineStr">
        <is>
          <t>Grants and donations as % of capital</t>
        </is>
      </c>
      <c r="B38" s="30">
        <f>B33/B16</f>
        <v/>
      </c>
    </row>
    <row r="41">
      <c r="A41" s="4" t="inlineStr">
        <is>
          <t>Loan service</t>
        </is>
      </c>
    </row>
    <row r="42">
      <c r="A42" t="inlineStr">
        <is>
          <t>Loan principal</t>
        </is>
      </c>
      <c r="B42" s="26">
        <f>B34</f>
        <v/>
      </c>
    </row>
    <row r="43">
      <c r="A43" t="inlineStr">
        <is>
          <t>Annual repayment (annuity)</t>
        </is>
      </c>
      <c r="B43" s="12">
        <f>IF(B42=0,0,-PMT(Inputs!$E$126,Inputs!$E$127,B42))</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56" customWidth="1" min="1" max="1"/>
    <col width="22" customWidth="1" min="2" max="2"/>
    <col width="22" customWidth="1" min="3" max="3"/>
    <col width="22" customWidth="1" min="4" max="4"/>
  </cols>
  <sheetData>
    <row r="1">
      <c r="A1" s="1" t="inlineStr">
        <is>
          <t>Momentum Netball Ltd as a tenant of the CIC (mode 2)</t>
        </is>
      </c>
    </row>
    <row r="2">
      <c r="A2" s="25" t="inlineStr">
        <is>
          <t>Today, school halls cost Momentum about £24 per court-hour. The CIC must charge an arm's-length rate, so Momentum's league margin changes. This sheet shows what has to move.</t>
        </is>
      </c>
    </row>
    <row r="3"/>
    <row r="5">
      <c r="A5" s="5" t="inlineStr"/>
      <c r="B5" s="5" t="inlineStr">
        <is>
          <t>Today (Xero FY26)</t>
        </is>
      </c>
      <c r="C5" s="5" t="inlineStr">
        <is>
          <t>In the CIC, same fees</t>
        </is>
      </c>
      <c r="D5" s="5" t="inlineStr">
        <is>
          <t>In the CIC, new fees</t>
        </is>
      </c>
    </row>
    <row r="6">
      <c r="A6" t="inlineStr">
        <is>
          <t>Evening court-hours per week</t>
        </is>
      </c>
      <c r="B6" s="7" t="n">
        <v>20</v>
      </c>
      <c r="C6" s="7">
        <f>Inputs!$E$17</f>
        <v/>
      </c>
      <c r="D6" s="7">
        <f>Inputs!$E$17</f>
        <v/>
      </c>
    </row>
    <row r="7">
      <c r="A7" t="inlineStr">
        <is>
          <t>Weeks per year</t>
        </is>
      </c>
      <c r="B7" s="7" t="n">
        <v>30</v>
      </c>
      <c r="C7" s="7">
        <f>Inputs!$E$31</f>
        <v/>
      </c>
      <c r="D7" s="7">
        <f>Inputs!$E$31</f>
        <v/>
      </c>
    </row>
    <row r="8">
      <c r="A8" t="inlineStr">
        <is>
          <t>Rate per court-hour paid</t>
        </is>
      </c>
      <c r="B8" s="13" t="n">
        <v>24</v>
      </c>
      <c r="C8" s="13">
        <f>Inputs!$E$19*(1-Inputs!$E$30)</f>
        <v/>
      </c>
      <c r="D8" s="13">
        <f>Inputs!$E$19*(1-Inputs!$E$30)</f>
        <v/>
      </c>
    </row>
    <row r="9">
      <c r="A9" t="inlineStr">
        <is>
          <t>Matches per court-hour</t>
        </is>
      </c>
      <c r="B9" s="15" t="n">
        <v>1.5</v>
      </c>
      <c r="C9" s="15" t="n">
        <v>1.5</v>
      </c>
      <c r="D9" s="15" t="n">
        <v>1.5</v>
      </c>
    </row>
    <row r="10">
      <c r="A10" t="inlineStr">
        <is>
          <t>Fee per team per match</t>
        </is>
      </c>
      <c r="B10" s="13" t="n">
        <v>18</v>
      </c>
      <c r="C10" s="13" t="n">
        <v>18</v>
      </c>
      <c r="D10" s="13" t="n">
        <v>25</v>
      </c>
    </row>
    <row r="11">
      <c r="A11" t="inlineStr">
        <is>
          <t>Other direct costs per match (umpires, insurance, prizes)</t>
        </is>
      </c>
      <c r="B11" s="13" t="n">
        <v>6</v>
      </c>
      <c r="C11" s="13" t="n">
        <v>6</v>
      </c>
      <c r="D11" s="13" t="n">
        <v>6</v>
      </c>
    </row>
    <row r="13">
      <c r="A13" t="inlineStr">
        <is>
          <t>Matches per year</t>
        </is>
      </c>
      <c r="B13" s="31">
        <f>B6*B7*B9</f>
        <v/>
      </c>
      <c r="C13" s="31">
        <f>C6*C7*C9</f>
        <v/>
      </c>
      <c r="D13" s="31">
        <f>D6*D7*D9</f>
        <v/>
      </c>
    </row>
    <row r="14">
      <c r="A14" t="inlineStr">
        <is>
          <t>League income (2 teams per match)</t>
        </is>
      </c>
      <c r="B14" s="26">
        <f>B13*2*B10</f>
        <v/>
      </c>
      <c r="C14" s="26">
        <f>C13*2*C10</f>
        <v/>
      </c>
      <c r="D14" s="26">
        <f>D13*2*D10</f>
        <v/>
      </c>
    </row>
    <row r="15">
      <c r="A15" t="inlineStr">
        <is>
          <t>Court hire paid</t>
        </is>
      </c>
      <c r="B15" s="26">
        <f>-B6*B7*B8</f>
        <v/>
      </c>
      <c r="C15" s="26">
        <f>-C6*C7*C8</f>
        <v/>
      </c>
      <c r="D15" s="26">
        <f>-D6*D7*D8</f>
        <v/>
      </c>
    </row>
    <row r="16">
      <c r="A16" t="inlineStr">
        <is>
          <t>Other direct costs</t>
        </is>
      </c>
      <c r="B16" s="26">
        <f>-B13*B11</f>
        <v/>
      </c>
      <c r="C16" s="26">
        <f>-C13*C11</f>
        <v/>
      </c>
      <c r="D16" s="26">
        <f>-D13*D11</f>
        <v/>
      </c>
    </row>
    <row r="17">
      <c r="A17" s="4" t="inlineStr">
        <is>
          <t>League gross profit</t>
        </is>
      </c>
      <c r="B17" s="12">
        <f>SUM(B14:B16)</f>
        <v/>
      </c>
      <c r="C17" s="12">
        <f>SUM(C14:C16)</f>
        <v/>
      </c>
      <c r="D17" s="12">
        <f>SUM(D14:D16)</f>
        <v/>
      </c>
    </row>
    <row r="18">
      <c r="A18" t="inlineStr">
        <is>
          <t>Gross margin</t>
        </is>
      </c>
      <c r="B18" s="30">
        <f>IF(B14=0,0,B17/B14)</f>
        <v/>
      </c>
      <c r="C18" s="30">
        <f>IF(C14=0,0,C17/C14)</f>
        <v/>
      </c>
      <c r="D18" s="30">
        <f>IF(D14=0,0,D17/D14)</f>
        <v/>
      </c>
    </row>
    <row r="20">
      <c r="A20" s="25" t="inlineStr">
        <is>
          <t>Reference points: Xero FY26 league sales £43,781 and venue hire £14,647. Commercial leagues (Play Netball, Go Mammoth) charge £8–10 per player per match, about £56–70 per team. Momentum's £18 per team per match is the cheapest in the market by a distance.</t>
        </is>
      </c>
    </row>
    <row r="21"/>
    <row r="22"/>
    <row r="24">
      <c r="A24" s="25" t="inlineStr">
        <is>
          <t>Governance: directors common to Momentum Ltd and the CIC must declare the conflict, the CIC board needs independent members, and the court-hire contract must be at the published rate. Funders and the CIC Regulator look for exactly this.</t>
        </is>
      </c>
    </row>
    <row r="25"/>
    <row r="26"/>
  </sheetData>
  <mergeCells count="3">
    <mergeCell ref="A2:D3"/>
    <mergeCell ref="A20:D22"/>
    <mergeCell ref="A24:D26"/>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20" customWidth="1" min="2" max="2"/>
    <col width="40" customWidth="1" min="3" max="3"/>
    <col width="40" customWidth="1" min="4" max="4"/>
    <col width="40" customWidth="1" min="5" max="5"/>
  </cols>
  <sheetData>
    <row r="1">
      <c r="A1" s="1" t="inlineStr">
        <is>
          <t>Spaces, from the Hollis as-built survey (TVBC 23/02973/FULLN, drawing 10250 C10)</t>
        </is>
      </c>
    </row>
    <row r="3">
      <c r="A3" s="5" t="inlineStr">
        <is>
          <t>Space</t>
        </is>
      </c>
      <c r="B3" s="5" t="inlineStr">
        <is>
          <t>Clear size</t>
        </is>
      </c>
      <c r="C3" s="5" t="inlineStr">
        <is>
          <t>Base use</t>
        </is>
      </c>
      <c r="D3" s="5" t="inlineStr">
        <is>
          <t>Alternatives that fit</t>
        </is>
      </c>
      <c r="E3" s="5" t="inlineStr">
        <is>
          <t>Why</t>
        </is>
      </c>
    </row>
    <row r="4">
      <c r="A4" s="21" t="inlineStr">
        <is>
          <t>Span A (west), x 13.5–34 m</t>
        </is>
      </c>
      <c r="B4" s="21" t="inlineStr">
        <is>
          <t>20 m x 52.5 m</t>
        </is>
      </c>
      <c r="C4" s="21" t="inlineStr">
        <is>
          <t>Court 1 + gym (18 x 20 m end)</t>
        </is>
      </c>
      <c r="D4" s="21" t="inlineStr">
        <is>
          <t>Court + 2 pickleball; court + walking netball</t>
        </is>
      </c>
      <c r="E4" s="21" t="inlineStr">
        <is>
          <t>18.25 m court fits a 20 m span with 0.9 m each side</t>
        </is>
      </c>
    </row>
    <row r="5">
      <c r="A5" s="21" t="inlineStr">
        <is>
          <t>Span B, x 34–54 m</t>
        </is>
      </c>
      <c r="B5" s="21" t="inlineStr">
        <is>
          <t>20 m x 52.5 m</t>
        </is>
      </c>
      <c r="C5" s="21" t="inlineStr">
        <is>
          <t>Court 2 + 2 pickleball (end)</t>
        </is>
      </c>
      <c r="D5" s="21" t="inlineStr">
        <is>
          <t>Court + gym; court + S&amp;C studio</t>
        </is>
      </c>
      <c r="E5" s="21" t="inlineStr">
        <is>
          <t>Same span; end zone 18 x 20 m</t>
        </is>
      </c>
    </row>
    <row r="6">
      <c r="A6" s="21" t="inlineStr">
        <is>
          <t>Span C incl. extension, x 54–75 m</t>
        </is>
      </c>
      <c r="B6" s="21" t="inlineStr">
        <is>
          <t>21 m x 60.5 m</t>
        </is>
      </c>
      <c r="C6" s="21" t="inlineStr">
        <is>
          <t>Court 3 + 2 padel (21 x 22 m leftover)</t>
        </is>
      </c>
      <c r="D6" s="21" t="inlineStr">
        <is>
          <t>Court 3 + bouldering room (~460 sq m); court 3 + 4 cricket lanes year-round</t>
        </is>
      </c>
      <c r="E6" s="21" t="inlineStr">
        <is>
          <t>Only 21 m spans take a 20 m padel court</t>
        </is>
      </c>
    </row>
    <row r="7">
      <c r="A7" s="21" t="inlineStr">
        <is>
          <t>East block, x 75–96 m</t>
        </is>
      </c>
      <c r="B7" s="21" t="inlineStr">
        <is>
          <t>21 m x 33.5 m</t>
        </is>
      </c>
      <c r="C7" s="21" t="inlineStr">
        <is>
          <t>3 padel</t>
        </is>
      </c>
      <c r="D7" s="21" t="inlineStr">
        <is>
          <t>Court 4 at league run-offs (33.5 m); 6 pickleball; futsal / small-sided</t>
        </is>
      </c>
      <c r="E7" s="21" t="inlineStr">
        <is>
          <t>Depends on the 75 m line: columns or beam</t>
        </is>
      </c>
    </row>
    <row r="8">
      <c r="A8" s="21" t="inlineStr">
        <is>
          <t>Office block, ground</t>
        </is>
      </c>
      <c r="B8" s="21" t="inlineStr">
        <is>
          <t>x 62–96 m, 4 m deep + SE corner</t>
        </is>
      </c>
      <c r="C8" s="21" t="inlineStr">
        <is>
          <t>Café, reception, changing (existing WCs and showers)</t>
        </is>
      </c>
      <c r="D8" s="21" t="inlineStr"/>
      <c r="E8" s="21" t="inlineStr"/>
    </row>
    <row r="9">
      <c r="A9" s="21" t="inlineStr">
        <is>
          <t>Office block, first floor</t>
        </is>
      </c>
      <c r="B9" s="21" t="inlineStr">
        <is>
          <t>3,467 sq ft total offices</t>
        </is>
      </c>
      <c r="C9" s="21" t="inlineStr">
        <is>
          <t>Physio rooms, meeting rooms, admin</t>
        </is>
      </c>
      <c r="D9" s="21" t="inlineStr">
        <is>
          <t>Sublet a suite</t>
        </is>
      </c>
      <c r="E9" s="21" t="inlineStr">
        <is>
          <t>Air-conditioned, refurbished</t>
        </is>
      </c>
    </row>
    <row r="10">
      <c r="A10" s="21" t="inlineStr">
        <is>
          <t>All netball courts, Jan–Apr weekdays</t>
        </is>
      </c>
      <c r="B10" s="21" t="inlineStr">
        <is>
          <t>4 lanes per court</t>
        </is>
      </c>
      <c r="C10" s="21" t="inlineStr">
        <is>
          <t>Retractable cricket nets</t>
        </is>
      </c>
      <c r="D10" s="21" t="inlineStr">
        <is>
          <t>Archery, indoor athletics hire</t>
        </is>
      </c>
      <c r="E10" s="21" t="inlineStr">
        <is>
          <t>Fills the dead daytime without capex on new space</t>
        </is>
      </c>
    </row>
    <row r="13">
      <c r="A13" s="25" t="inlineStr">
        <is>
          <t>Height: eaves and valleys 7.1 m at every column row, each span has its own ridge (about 8.1 m at a 6° pitch). Momentum's leagues play in 6.7 m school halls today; England Netball's 7.5 m is for affiliated competition venues.</t>
        </is>
      </c>
    </row>
    <row r="14"/>
    <row r="16">
      <c r="A16" s="25" t="inlineStr">
        <is>
          <t>What was rejected and why: trampoline park and soft play (different operating model, insurance, staff-heavy); 5-a-side (competes with our own evening slots and with Goals/PowerLeague economics); esports and nursery (not sport, not us).</t>
        </is>
      </c>
    </row>
    <row r="17"/>
  </sheetData>
  <mergeCells count="2">
    <mergeCell ref="A13:E14"/>
    <mergeCell ref="A16:E17"/>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8"/>
  <sheetViews>
    <sheetView workbookViewId="0">
      <selection activeCell="A1" sqref="A1"/>
    </sheetView>
  </sheetViews>
  <sheetFormatPr baseColWidth="8" defaultRowHeight="15"/>
  <cols>
    <col width="140" customWidth="1" min="1" max="1"/>
  </cols>
  <sheetData>
    <row r="1">
      <c r="A1" s="25" t="inlineStr">
        <is>
          <t>Andover Community Netball Hub — Unit 28 North Way, Walworth Business Park. Model built 2026-09-09.</t>
        </is>
      </c>
    </row>
    <row r="2">
      <c r="A2" s="25" t="inlineStr"/>
    </row>
    <row r="3">
      <c r="A3" s="25" t="inlineStr">
        <is>
          <t>What this model is: a test of whether a multi-activity community venue can carry £450k rent plus £192k rates. It is not a business plan and nothing in it is committed.</t>
        </is>
      </c>
    </row>
    <row r="4">
      <c r="A4" s="25" t="inlineStr"/>
    </row>
    <row r="5">
      <c r="A5" s="25" t="inlineStr">
        <is>
          <t>Facts: 47,035 sq ft; 7.1 m eaves (England Netball wants 7.5 m); RV £400,000; freeholder Test Valley BC; landlord Mileway; empty since 2023.</t>
        </is>
      </c>
    </row>
    <row r="6">
      <c r="A6" s="25" t="inlineStr">
        <is>
          <t>Momentum Netball actuals (Xero FY to 31 Aug 2026): turnover £55,154, loss £5,099, venue hire £14,647, net assets (£3,610).</t>
        </is>
      </c>
    </row>
    <row r="7">
      <c r="A7" s="25" t="inlineStr"/>
    </row>
    <row r="8">
      <c r="A8" s="25" t="inlineStr">
        <is>
          <t>How to use: change C2 on Inputs for Low/Base/High. Change C3 for the legal structure; it drives rates relief and Gift Aid. Every yellow cell is an assumption.</t>
        </is>
      </c>
    </row>
    <row r="9">
      <c r="A9" s="25" t="inlineStr"/>
    </row>
    <row r="10">
      <c r="A10" s="25" t="inlineStr">
        <is>
          <t>Momentum Netball Ltd can stay independent and block-book courts from the CIC (mode 2 on Inputs). The Momentum Ltd sheet shows the effect on its league margin: at an arm's-length rate its £18 per team per match no longer covers the court, so fees rise or the league grows.</t>
        </is>
      </c>
    </row>
    <row r="11">
      <c r="A11" s="25" t="inlineStr"/>
    </row>
    <row r="12">
      <c r="A12" s="25" t="inlineStr">
        <is>
          <t>Layout is 3 netball + 5 padel + 2 pickleball + winter cricket nets by default (Layout sheet). Set boulder_sqm to ~460 and padel to 3 to test a bouldering room instead of the two padel courts south of Court 3.</t>
        </is>
      </c>
    </row>
    <row r="13">
      <c r="A13" s="25" t="inlineStr"/>
    </row>
    <row r="14">
      <c r="A14" s="25" t="inlineStr">
        <is>
          <t>What the model says: at Base, as a CIC with no rates relief, the venue roughly breaks even at steady state before loan repayments and loses money in years 1–2. Charity status or TVBC discretionary relief is worth about £154k a year, more than any single income line. Padel and the café carry the daytime.</t>
        </is>
      </c>
    </row>
    <row r="15">
      <c r="A15" s="25" t="inlineStr"/>
    </row>
    <row r="16">
      <c r="A16" s="25" t="inlineStr">
        <is>
          <t>Biggest unknowns, in order: clear height under the roof; ground-lease user clause and planning; landlord incentives; padel fill; whether the tenant gets the PV electricity; VAT on rent and on fit-out (a VAT-exempt sports body cannot recover it — take advice).</t>
        </is>
      </c>
    </row>
    <row r="17">
      <c r="A17" s="25" t="inlineStr"/>
    </row>
    <row r="18">
      <c r="A18" s="25" t="inlineStr">
        <is>
          <t>Grant figures are targets from published programme ranges: Football Foundation multi-sport (£98m/yr UK, netball named); Lottery Reaching Communities (£20k–£500k typical); LTA loans £25k–£250k at 5%; Pitch Together £25k–£300k at 6%; TVBC discretionary relief up to 100% for local non-profit recreation bodies (policy v2026.1).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2026-09-10T05:37:17Z</dcterms:created>
  <dcterms:modified xmlns:dcterms="http://purl.org/dc/terms/" xmlns:xsi="http://www.w3.org/2001/XMLSchema-instance" xsi:type="dcterms:W3CDTF">2026-09-10T05:37:17Z</dcterms:modified>
</cp:coreProperties>
</file>